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6DC529-F6BA-4DBC-85EA-2F6516BEE0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報價單匯出 Tier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6" i="1" l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</calcChain>
</file>

<file path=xl/sharedStrings.xml><?xml version="1.0" encoding="utf-8"?>
<sst xmlns="http://schemas.openxmlformats.org/spreadsheetml/2006/main" count="571" uniqueCount="184">
  <si>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</si>
  <si>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</si>
  <si>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</si>
  <si>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</si>
  <si>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</si>
  <si>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</si>
  <si>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</si>
  <si>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</si>
  <si>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</si>
  <si>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</si>
  <si>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</si>
  <si>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</si>
  <si>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</si>
  <si>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</si>
  <si>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</si>
  <si>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</si>
  <si>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</si>
  <si>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</si>
  <si>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</si>
  <si>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</si>
  <si>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</si>
  <si>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</si>
  <si>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</si>
  <si>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</si>
  <si>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</si>
  <si>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</si>
  <si>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</si>
  <si>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</si>
  <si>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</si>
  <si>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</si>
  <si>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</si>
  <si>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</si>
  <si>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</si>
  <si>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</si>
  <si>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</si>
  <si>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</si>
  <si>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</si>
  <si>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</si>
  <si>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</si>
  <si>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</si>
  <si>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</si>
  <si>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</si>
  <si>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</si>
  <si>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</si>
  <si>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</si>
  <si>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</si>
  <si>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</si>
  <si>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</si>
  <si>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</si>
  <si>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</si>
  <si>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</si>
  <si>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</si>
  <si>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</si>
  <si>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</si>
  <si>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</si>
  <si>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</si>
  <si>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</si>
  <si>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</si>
  <si>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</si>
  <si>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</si>
  <si>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</si>
  <si>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</si>
  <si>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</si>
  <si>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</si>
  <si>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</si>
  <si>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</si>
  <si>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</si>
  <si>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</si>
  <si>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</si>
  <si>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</si>
  <si>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</si>
  <si>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</si>
  <si>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</si>
  <si>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</si>
  <si>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</si>
  <si>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</si>
  <si>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</si>
  <si>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</si>
  <si>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</si>
  <si>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</si>
  <si>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</si>
  <si>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</si>
  <si>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</si>
  <si>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</si>
  <si>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</si>
  <si>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</si>
  <si>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</si>
  <si>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</si>
  <si>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</si>
  <si>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</si>
  <si>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</si>
  <si>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</si>
  <si>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</si>
  <si>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</si>
  <si>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</si>
  <si>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</si>
  <si>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</si>
  <si>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</si>
  <si>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</si>
  <si>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</si>
  <si>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</si>
  <si>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</si>
  <si>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</si>
  <si>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</si>
  <si>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</si>
  <si>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</si>
  <si>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</si>
  <si>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</si>
  <si>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</si>
  <si>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</si>
  <si>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</si>
  <si>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</si>
  <si>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</si>
  <si>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</si>
  <si>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</si>
  <si>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</si>
  <si>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</si>
  <si>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</si>
  <si>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</si>
  <si>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</si>
  <si>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</si>
  <si>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</si>
  <si>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</si>
  <si>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</si>
  <si>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</si>
  <si>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</si>
  <si>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</si>
  <si>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</si>
  <si>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</si>
  <si>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</si>
  <si>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</si>
  <si>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</si>
  <si>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</si>
  <si>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</si>
  <si>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</si>
  <si>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</si>
  <si>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</si>
  <si>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</si>
  <si>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報價日期 | Quotation Date</t>
  </si>
  <si>
    <t>報價單號 | Quotation Number</t>
  </si>
  <si>
    <t>客戶代號 | Customer Code</t>
  </si>
  <si>
    <t>客戶簡稱 | Customer</t>
  </si>
  <si>
    <t>單據日期 | document date</t>
  </si>
  <si>
    <t>報價金額 | Quoted amount</t>
  </si>
  <si>
    <t>稅額 | tax</t>
  </si>
  <si>
    <t>總數量</t>
  </si>
  <si>
    <t>交貨日 | Delivery date</t>
  </si>
  <si>
    <t>業務員 | Sale persion</t>
  </si>
  <si>
    <t>課稅別</t>
  </si>
  <si>
    <t>確認</t>
  </si>
  <si>
    <t>客戶確認</t>
  </si>
  <si>
    <t>價格條件</t>
  </si>
  <si>
    <t>材積單位</t>
  </si>
  <si>
    <t>付款條件代號</t>
  </si>
  <si>
    <t>付款條件名稱</t>
  </si>
  <si>
    <t>總毛重(Kg)</t>
  </si>
  <si>
    <t>總材積</t>
  </si>
  <si>
    <t>品 號 | SKU</t>
  </si>
  <si>
    <t>品 名 | Product Name</t>
  </si>
  <si>
    <t>贈品量</t>
  </si>
  <si>
    <t>單位</t>
  </si>
  <si>
    <t>小單位</t>
  </si>
  <si>
    <t>生效日期</t>
  </si>
  <si>
    <t>失效日期</t>
  </si>
  <si>
    <t>允收效期</t>
  </si>
  <si>
    <t>天(月)</t>
  </si>
  <si>
    <t>付款條件_0LD</t>
  </si>
  <si>
    <t>包裝方式</t>
  </si>
  <si>
    <t>包裝名稱</t>
  </si>
  <si>
    <t>毛重(Kg)</t>
  </si>
  <si>
    <t>品號稅別</t>
  </si>
  <si>
    <t>材積</t>
  </si>
  <si>
    <t>應稅品未稅金額</t>
  </si>
  <si>
    <t>免稅品金額</t>
  </si>
  <si>
    <t>規 格</t>
  </si>
  <si>
    <t>客戶全名 | Customer's full name</t>
  </si>
  <si>
    <t>幣別 | Currency</t>
  </si>
  <si>
    <t>匯率 | exchange rate</t>
  </si>
  <si>
    <t>數量 | Quantity</t>
  </si>
  <si>
    <t>標準價 | Standard Price</t>
  </si>
  <si>
    <t>單價 | unit price</t>
  </si>
  <si>
    <t>金額 | Amount</t>
  </si>
  <si>
    <t>分量計價 | Portion pricing</t>
  </si>
  <si>
    <t>價格判定 | price determination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</si>
</sst>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_-* #,##0_-;\-* #,##0_-;_-* &quot;-&quot;??_-;_-@_-"/>
    <numFmt numFmtId="167" formatCode="##,##0.00_ ;\-##,##0.00\ "/>
    <numFmt numFmtId="168" formatCode="&quot; &quot;* #,##0&quot; &quot;;&quot;-&quot;* #,##0&quot; &quot;;&quot; &quot;* &quot;-&quot;??&quot; &quot;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微軟正黑體"/>
      <family val="2"/>
      <charset val="136"/>
    </font>
    <font>
      <sz val="14"/>
      <name val="Arial"/>
      <family val="2"/>
    </font>
    <font>
      <sz val="14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right" vertical="center"/>
    </xf>
    <xf numFmtId="166" fontId="2" fillId="0" borderId="0" xfId="1" applyNumberFormat="1" applyFont="1" applyBorder="1" applyAlignment="1">
      <alignment horizontal="left" vertical="center"/>
    </xf>
    <xf numFmtId="168" fontId="4" fillId="2" borderId="3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51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4"/>
        <color auto="1"/>
      </font>
      <numFmt numFmtId="0" formatCode="General"/>
      <alignment horizontal="center" vertical="center" textRotation="0" wrapText="0" indent="0" justifyLastLine="0" shrinkToFit="0" readingOrder="0"/>
      <border outline="0">
        <left style="thin">
          <color indexed="15"/>
        </left>
      </border>
    </dxf>
    <dxf>
      <font>
        <strike val="0"/>
        <outline val="0"/>
        <shadow val="0"/>
        <u val="none"/>
        <vertAlign val="baseline"/>
        <sz val="14"/>
        <color indexed="8"/>
        <name val="Arial"/>
        <scheme val="none"/>
      </font>
      <numFmt numFmtId="168" formatCode="&quot; &quot;* #,##0&quot; &quot;;&quot;-&quot;* #,##0&quot; &quot;;&quot; &quot;* &quot;-&quot;??&quot; &quot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font>
        <strike val="0"/>
        <outline val="0"/>
        <shadow val="0"/>
        <u val="none"/>
        <vertAlign val="baseline"/>
        <sz val="14"/>
        <color auto="1"/>
      </font>
      <border outline="0">
        <right style="thin">
          <color indexed="15"/>
        </right>
      </border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family val="2"/>
        <charset val="136"/>
      </font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49A3A7-0888-4450-8E7E-92293AF5A554}" name="表格1" displayName="表格1" ref="A1:AT36" totalsRowShown="0" headerRowDxfId="50" dataDxfId="48" headerRowBorderDxfId="49">
  <autoFilter ref="A1:AT36" xr:uid="{2949A3A7-0888-4450-8E7E-92293AF5A554}"/>
  <tableColumns count="46">
    <tableColumn id="1" xr3:uid="{1D5E67A7-D1D1-44E5-B648-43D44EE8696D}" name="報價日期 | Quotation Date" dataDxfId="47"/>
    <tableColumn id="2" xr3:uid="{948EFA86-5FD1-4E50-B439-6DC253B52F6B}" name="報價單號 | Quotation Number" dataDxfId="46"/>
    <tableColumn id="3" xr3:uid="{BB231C5B-A20F-41C3-8098-E694E5BBA7E9}" name="客戶代號 | Customer Code" dataDxfId="45"/>
    <tableColumn id="4" xr3:uid="{EEC236C7-BBD2-47C7-8A4D-E911403A7387}" name="客戶簡稱 | Customer" dataDxfId="44"/>
    <tableColumn id="5" xr3:uid="{342B3F7B-CA27-4D27-95B2-0E6AF12FE4EA}" name="單據日期 | document date" dataDxfId="43"/>
    <tableColumn id="6" xr3:uid="{5777085F-522D-4DB2-BE43-34EC332F0C6E}" name="客戶全名 | Customer's full name" dataDxfId="42"/>
    <tableColumn id="7" xr3:uid="{38265093-4ACA-4FA3-A3E7-456B3D5114C6}" name="幣別 | Currency" dataDxfId="41"/>
    <tableColumn id="8" xr3:uid="{485F9E34-FB44-4FB1-BFC9-DC74D3CD0694}" name="匯率 | exchange rate" dataDxfId="40"/>
    <tableColumn id="9" xr3:uid="{3CFB0E52-55D6-4DEC-93FD-E2042F7A3EDD}" name="報價金額 | Quoted amount" dataDxfId="39"/>
    <tableColumn id="10" xr3:uid="{3F68860E-E241-4B75-B848-42544DF8F97D}" name="稅額 | tax" dataDxfId="38"/>
    <tableColumn id="11" xr3:uid="{A5F88A8C-A38F-40A2-A588-132871194BDB}" name="總數量" dataDxfId="37"/>
    <tableColumn id="12" xr3:uid="{9E73F9F7-3FDE-4F24-8F60-E876949D5EEE}" name="交貨日 | Delivery date" dataDxfId="36"/>
    <tableColumn id="13" xr3:uid="{8370838F-E944-4EC2-B886-B74BA37A76F3}" name="業務員 | Sale persion" dataDxfId="35"/>
    <tableColumn id="14" xr3:uid="{822F61AF-7741-4F9E-A3CF-F62979C6E990}" name="課稅別" dataDxfId="34"/>
    <tableColumn id="15" xr3:uid="{252F3D8F-42AD-4689-8437-0AD250C4CEFE}" name="確認" dataDxfId="33"/>
    <tableColumn id="16" xr3:uid="{FB3F3B76-AF46-4E1F-ADEE-B8E0A947F81A}" name="客戶確認" dataDxfId="32"/>
    <tableColumn id="17" xr3:uid="{D7A39C06-50B2-4E46-9014-97445A0F7480}" name="價格條件" dataDxfId="31"/>
    <tableColumn id="18" xr3:uid="{EAADA55F-8FB0-42E5-9B73-120A56C42F5B}" name="材積單位" dataDxfId="30"/>
    <tableColumn id="19" xr3:uid="{59975D2B-E949-414D-A7C9-A441488000A5}" name="付款條件代號" dataDxfId="29"/>
    <tableColumn id="20" xr3:uid="{22FA9FC5-3936-4E98-BFBB-4B00DD97ECB7}" name="付款條件名稱" dataDxfId="28"/>
    <tableColumn id="21" xr3:uid="{3D5C1718-F01B-49E3-8664-0638A49E433E}" name="總毛重(Kg)" dataDxfId="27"/>
    <tableColumn id="22" xr3:uid="{2D92FA3D-87B2-46BA-A323-6B754908EBC1}" name="總材積" dataDxfId="26"/>
    <tableColumn id="23" xr3:uid="{970E6AA1-686A-4128-BEE4-9445AD4CBD58}" name="品 號 | SKU" dataDxfId="25"/>
    <tableColumn id="24" xr3:uid="{B81E814C-EB3F-488A-8DD9-EA735DFC01E4}" name="品 名 | Product Name" dataDxfId="24"/>
    <tableColumn id="25" xr3:uid="{762C37D3-0D4F-4F17-973C-60CBEDAA4598}" name="規 格" dataDxfId="23"/>
    <tableColumn id="26" xr3:uid="{7DF42329-2058-41AE-8113-2442D379AB80}" name="數量 | Quantity" dataDxfId="22"/>
    <tableColumn id="27" xr3:uid="{758B2AA2-1EFE-4651-AA44-7FBF4A1560DA}" name="贈品量" dataDxfId="21"/>
    <tableColumn id="28" xr3:uid="{455871A2-A144-4076-B067-FEFE400B2F89}" name="單位" dataDxfId="20"/>
    <tableColumn id="29" xr3:uid="{6ED2BA38-9756-4958-A29D-B6CB90E1DE7B}" name="小單位" dataDxfId="19"/>
    <tableColumn id="30" xr3:uid="{49449C42-1C0B-4F56-A147-98AC124ADB0A}" name="生效日期" dataDxfId="18"/>
    <tableColumn id="31" xr3:uid="{6CD3FA50-CED2-4F28-809B-1B706997834C}" name="失效日期" dataDxfId="17"/>
    <tableColumn id="32" xr3:uid="{AF8858C8-473F-4C5F-88C3-292BF6AB629D}" name="允收效期" dataDxfId="16"/>
    <tableColumn id="33" xr3:uid="{17E2E89C-A63E-4B20-8579-F8F45A285686}" name="天(月)" dataDxfId="15"/>
    <tableColumn id="34" xr3:uid="{C5CC6DB8-5438-4AC5-BAEA-B381300C43B9}" name="單價 | unit price" dataDxfId="14"/>
    <tableColumn id="35" xr3:uid="{38140B6C-3301-4B38-BFB0-A1299AE71325}" name="金額 | Amount" dataDxfId="13"/>
    <tableColumn id="36" xr3:uid="{B1FB6BFD-0C90-4802-9569-02CBB1EC63CC}" name="分量計價 | Portion pricing" dataDxfId="12"/>
    <tableColumn id="37" xr3:uid="{D49C0E0C-B5C8-41AC-9A77-A00F835D3F81}" name="付款條件_0LD" dataDxfId="11"/>
    <tableColumn id="38" xr3:uid="{70844046-5E7F-400F-B3C6-6E99E3253730}" name="包裝方式" dataDxfId="10"/>
    <tableColumn id="39" xr3:uid="{F99242F9-C8E8-420A-8CCB-DC7F0332424C}" name="包裝名稱" dataDxfId="9"/>
    <tableColumn id="40" xr3:uid="{F138112D-72BE-44E1-BC6D-C1C70FACA2AF}" name="毛重(Kg)" dataDxfId="8"/>
    <tableColumn id="41" xr3:uid="{2CF9DAAA-05D4-4EA8-8A77-80C3742ECCD0}" name="品號稅別" dataDxfId="7"/>
    <tableColumn id="42" xr3:uid="{44C45342-51F7-4BB3-9FC5-E87D57C06311}" name="材積" dataDxfId="6"/>
    <tableColumn id="43" xr3:uid="{79B0BBFA-81CC-48F8-AC70-45BCC7B823FB}" name="應稅品未稅金額" dataDxfId="5"/>
    <tableColumn id="44" xr3:uid="{83797968-F0AC-423B-BD1F-14DA0EF38294}" name="免稅品金額" dataDxfId="4"/>
    <tableColumn id="45" xr3:uid="{F3DB56F5-7F2A-4CD9-A3BD-D7E2068031D7}" name="標準價 | Standard Price" dataDxfId="3"/>
    <tableColumn id="46" xr3:uid="{0283A41C-50C8-4F00-928A-25A6B867552D}" name="價格判定 | price determination" dataDxfId="2">
      <calculatedColumnFormula>IF(表格1[[#This Row],[標準價 | Standard Price]]=表格1[[#This Row],[單價 | unit price]],"標準價","特殊價")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abSelected="1" zoomScale="85" zoomScaleNormal="85" workbookViewId="0">
      <selection activeCell="F7" sqref="F7"/>
    </sheetView>
  </sheetViews>
  <sheetFormatPr defaultRowHeight="15"/>
  <cols>
    <col min="1" max="1" width="38" bestFit="1" customWidth="1"/>
    <col min="2" max="2" width="42.85546875" bestFit="1" customWidth="1"/>
    <col min="3" max="3" width="38.140625" bestFit="1" customWidth="1"/>
    <col min="4" max="4" width="44.28515625" bestFit="1" customWidth="1"/>
    <col min="5" max="5" width="37.5703125" bestFit="1" customWidth="1"/>
    <col min="6" max="6" width="45.7109375" bestFit="1" customWidth="1"/>
    <col min="7" max="7" width="9.5703125" bestFit="1" customWidth="1"/>
    <col min="8" max="8" width="30.5703125" bestFit="1" customWidth="1"/>
    <col min="9" max="9" width="38.5703125" bestFit="1" customWidth="1"/>
    <col min="10" max="10" width="15.7109375" customWidth="1"/>
    <col min="11" max="11" width="12.28515625" bestFit="1" customWidth="1"/>
    <col min="12" max="12" width="31.85546875" bestFit="1" customWidth="1"/>
    <col min="13" max="13" width="30.5703125" bestFit="1" customWidth="1"/>
    <col min="14" max="14" width="17.85546875" customWidth="1"/>
    <col min="15" max="15" width="9.5703125" bestFit="1" customWidth="1"/>
    <col min="16" max="18" width="15" bestFit="1" customWidth="1"/>
    <col min="19" max="20" width="20.7109375" bestFit="1" customWidth="1"/>
    <col min="21" max="21" width="17.85546875" bestFit="1" customWidth="1"/>
    <col min="22" max="22" width="12.28515625" bestFit="1" customWidth="1"/>
    <col min="23" max="23" width="17.85546875" bestFit="1" customWidth="1"/>
    <col min="24" max="24" width="50.28515625" bestFit="1" customWidth="1"/>
    <col min="25" max="25" width="40" bestFit="1" customWidth="1"/>
    <col min="26" max="26" width="23.28515625" bestFit="1" customWidth="1"/>
    <col min="29" max="29" width="12.28515625" bestFit="1" customWidth="1"/>
    <col min="30" max="32" width="15" bestFit="1" customWidth="1"/>
    <col min="33" max="33" width="11.5703125" bestFit="1" customWidth="1"/>
    <col min="34" max="34" width="24.140625" bestFit="1" customWidth="1"/>
    <col min="35" max="35" width="25.7109375" customWidth="1"/>
    <col min="36" max="36" width="15" bestFit="1" customWidth="1"/>
    <col min="37" max="37" width="21.42578125" bestFit="1" customWidth="1"/>
    <col min="38" max="40" width="15" bestFit="1" customWidth="1"/>
    <col min="41" max="41" width="16.140625" customWidth="1"/>
    <col min="42" max="42" width="19.85546875" customWidth="1"/>
    <col min="43" max="43" width="27.5703125" customWidth="1"/>
    <col min="44" max="44" width="17.85546875" bestFit="1" customWidth="1"/>
    <col min="45" max="45" width="36.42578125" bestFit="1" customWidth="1"/>
    <col min="46" max="46" width="46" bestFit="1" customWidth="1"/>
  </cols>
  <sheetData>
    <row r="1" spans="1:46" ht="20.25" thickTop="1" thickBot="1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175</v>
      </c>
      <c r="G1" s="1" t="s">
        <v>176</v>
      </c>
      <c r="H1" s="1" t="s">
        <v>177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174</v>
      </c>
      <c r="Z1" s="1" t="s">
        <v>178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180</v>
      </c>
      <c r="AI1" s="1" t="s">
        <v>181</v>
      </c>
      <c r="AJ1" s="1" t="s">
        <v>182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173</v>
      </c>
      <c r="AS1" s="7" t="s">
        <v>179</v>
      </c>
      <c r="AT1" s="9" t="s">
        <v>183</v>
      </c>
    </row>
    <row r="2" spans="1:46" ht="19.5" thickTop="1">
      <c r="A2" s="2" t="s">
        <v>0</v>
      </c>
      <c r="B2" s="2" t="s">
        <v>1</v>
      </c>
      <c r="C2" s="2" t="s">
        <v>2</v>
      </c>
      <c r="D2" s="2" t="s">
        <v>3</v>
      </c>
      <c r="E2" s="2" t="s">
        <v>0</v>
      </c>
      <c r="F2" s="2"/>
      <c r="G2" s="2" t="s">
        <v>4</v>
      </c>
      <c r="H2" s="3">
        <v>1</v>
      </c>
      <c r="I2" s="3">
        <v>1150</v>
      </c>
      <c r="J2" s="4">
        <v>57.5</v>
      </c>
      <c r="K2" s="3">
        <v>0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8</v>
      </c>
      <c r="Q2" s="2"/>
      <c r="R2" s="2"/>
      <c r="S2" s="2" t="s">
        <v>9</v>
      </c>
      <c r="T2" s="2" t="s">
        <v>10</v>
      </c>
      <c r="U2" s="3">
        <v>0</v>
      </c>
      <c r="V2" s="3">
        <v>0</v>
      </c>
      <c r="W2" s="2" t="s">
        <v>11</v>
      </c>
      <c r="X2" s="2" t="s">
        <v>12</v>
      </c>
      <c r="Y2" s="2" t="s">
        <v>13</v>
      </c>
      <c r="Z2" s="3">
        <v>1</v>
      </c>
      <c r="AA2" s="3">
        <v>0</v>
      </c>
      <c r="AB2" s="2" t="s">
        <v>14</v>
      </c>
      <c r="AC2" s="2"/>
      <c r="AD2" s="2" t="s">
        <v>15</v>
      </c>
      <c r="AE2" s="2"/>
      <c r="AF2" s="2"/>
      <c r="AG2" s="2"/>
      <c r="AH2" s="3">
        <v>1150</v>
      </c>
      <c r="AI2" s="3">
        <v>1150</v>
      </c>
      <c r="AJ2" s="2" t="s">
        <v>16</v>
      </c>
      <c r="AK2" s="2"/>
      <c r="AL2" s="2"/>
      <c r="AM2" s="2"/>
      <c r="AN2" s="3">
        <v>0</v>
      </c>
      <c r="AO2" s="2"/>
      <c r="AP2" s="3">
        <v>0</v>
      </c>
      <c r="AQ2" s="3">
        <v>0</v>
      </c>
      <c r="AR2" s="3">
        <v>0</v>
      </c>
      <c r="AS2" s="8">
        <v>1150</v>
      </c>
      <c r="AT2" s="5" t="str">
        <f>IF(表格1[[#This Row],[標準價 | Standard Price]]=表格1[[#This Row],[單價 | unit price]],"標準價","特殊價")</f>
        <v>標準價</v>
      </c>
    </row>
    <row r="3" spans="1:46" ht="18.75">
      <c r="A3" s="2" t="s">
        <v>17</v>
      </c>
      <c r="B3" s="2" t="s">
        <v>18</v>
      </c>
      <c r="C3" s="2" t="s">
        <v>19</v>
      </c>
      <c r="D3" s="2" t="s">
        <v>20</v>
      </c>
      <c r="E3" s="2" t="s">
        <v>17</v>
      </c>
      <c r="F3" s="2"/>
      <c r="G3" s="2" t="s">
        <v>4</v>
      </c>
      <c r="H3" s="3">
        <v>1</v>
      </c>
      <c r="I3" s="3">
        <v>305</v>
      </c>
      <c r="J3" s="6">
        <v>15.25</v>
      </c>
      <c r="K3" s="3">
        <v>0</v>
      </c>
      <c r="L3" s="2" t="s">
        <v>5</v>
      </c>
      <c r="M3" s="2" t="s">
        <v>21</v>
      </c>
      <c r="N3" s="2" t="s">
        <v>7</v>
      </c>
      <c r="O3" s="2" t="s">
        <v>8</v>
      </c>
      <c r="P3" s="2" t="s">
        <v>8</v>
      </c>
      <c r="Q3" s="2"/>
      <c r="R3" s="2"/>
      <c r="S3" s="2" t="s">
        <v>9</v>
      </c>
      <c r="T3" s="2" t="s">
        <v>10</v>
      </c>
      <c r="U3" s="3">
        <v>0</v>
      </c>
      <c r="V3" s="3">
        <v>0</v>
      </c>
      <c r="W3" s="2" t="s">
        <v>22</v>
      </c>
      <c r="X3" s="2" t="s">
        <v>23</v>
      </c>
      <c r="Y3" s="2" t="s">
        <v>24</v>
      </c>
      <c r="Z3" s="3">
        <v>1</v>
      </c>
      <c r="AA3" s="3">
        <v>0</v>
      </c>
      <c r="AB3" s="2" t="s">
        <v>25</v>
      </c>
      <c r="AC3" s="2"/>
      <c r="AD3" s="2" t="s">
        <v>17</v>
      </c>
      <c r="AE3" s="2"/>
      <c r="AF3" s="2"/>
      <c r="AG3" s="2"/>
      <c r="AH3" s="3">
        <v>305</v>
      </c>
      <c r="AI3" s="3">
        <v>305</v>
      </c>
      <c r="AJ3" s="2" t="s">
        <v>16</v>
      </c>
      <c r="AK3" s="2"/>
      <c r="AL3" s="2"/>
      <c r="AM3" s="2"/>
      <c r="AN3" s="3">
        <v>0</v>
      </c>
      <c r="AO3" s="2"/>
      <c r="AP3" s="3">
        <v>0</v>
      </c>
      <c r="AQ3" s="3">
        <v>0</v>
      </c>
      <c r="AR3" s="3">
        <v>0</v>
      </c>
      <c r="AS3" s="8">
        <v>330</v>
      </c>
      <c r="AT3" s="5" t="str">
        <f>IF(表格1[[#This Row],[標準價 | Standard Price]]=表格1[[#This Row],[單價 | unit price]],"標準價","特殊價")</f>
        <v>特殊價</v>
      </c>
    </row>
    <row r="4" spans="1:46" ht="18.75">
      <c r="A4" s="2"/>
      <c r="B4" s="2" t="s">
        <v>26</v>
      </c>
      <c r="C4" s="2" t="s">
        <v>27</v>
      </c>
      <c r="D4" s="2" t="s">
        <v>28</v>
      </c>
      <c r="E4" s="2" t="s">
        <v>17</v>
      </c>
      <c r="F4" s="2"/>
      <c r="G4" s="2" t="s">
        <v>4</v>
      </c>
      <c r="H4" s="3">
        <v>1</v>
      </c>
      <c r="I4" s="3">
        <v>901230</v>
      </c>
      <c r="J4" s="4">
        <v>45061.5</v>
      </c>
      <c r="K4" s="3">
        <v>0</v>
      </c>
      <c r="L4" s="2" t="s">
        <v>5</v>
      </c>
      <c r="M4" s="2" t="s">
        <v>29</v>
      </c>
      <c r="N4" s="2" t="s">
        <v>7</v>
      </c>
      <c r="O4" s="2" t="s">
        <v>8</v>
      </c>
      <c r="P4" s="2" t="s">
        <v>8</v>
      </c>
      <c r="Q4" s="2"/>
      <c r="R4" s="2"/>
      <c r="S4" s="2" t="s">
        <v>9</v>
      </c>
      <c r="T4" s="2" t="s">
        <v>10</v>
      </c>
      <c r="U4" s="3">
        <v>0</v>
      </c>
      <c r="V4" s="3">
        <v>0</v>
      </c>
      <c r="W4" s="2" t="s">
        <v>30</v>
      </c>
      <c r="X4" s="2" t="s">
        <v>31</v>
      </c>
      <c r="Y4" s="2" t="s">
        <v>32</v>
      </c>
      <c r="Z4" s="3">
        <v>1</v>
      </c>
      <c r="AA4" s="3">
        <v>0</v>
      </c>
      <c r="AB4" s="2" t="s">
        <v>33</v>
      </c>
      <c r="AC4" s="2"/>
      <c r="AD4" s="2" t="s">
        <v>15</v>
      </c>
      <c r="AE4" s="2"/>
      <c r="AF4" s="2"/>
      <c r="AG4" s="2"/>
      <c r="AH4" s="3">
        <v>1230</v>
      </c>
      <c r="AI4" s="3">
        <v>1230</v>
      </c>
      <c r="AJ4" s="2" t="s">
        <v>16</v>
      </c>
      <c r="AK4" s="2"/>
      <c r="AL4" s="2"/>
      <c r="AM4" s="2"/>
      <c r="AN4" s="3">
        <v>0</v>
      </c>
      <c r="AO4" s="2"/>
      <c r="AP4" s="3">
        <v>0</v>
      </c>
      <c r="AQ4" s="3">
        <v>0</v>
      </c>
      <c r="AR4" s="3">
        <v>0</v>
      </c>
      <c r="AS4" s="8">
        <v>1250</v>
      </c>
      <c r="AT4" s="5" t="str">
        <f>IF(表格1[[#This Row],[標準價 | Standard Price]]=表格1[[#This Row],[單價 | unit price]],"標準價","特殊價")</f>
        <v>特殊價</v>
      </c>
    </row>
    <row r="5" spans="1:46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30</v>
      </c>
      <c r="X5" s="2" t="s">
        <v>31</v>
      </c>
      <c r="Y5" s="2" t="s">
        <v>32</v>
      </c>
      <c r="Z5" s="3">
        <v>750</v>
      </c>
      <c r="AA5" s="3">
        <v>0</v>
      </c>
      <c r="AB5" s="2" t="s">
        <v>33</v>
      </c>
      <c r="AC5" s="2"/>
      <c r="AD5" s="2" t="s">
        <v>15</v>
      </c>
      <c r="AE5" s="2"/>
      <c r="AF5" s="2"/>
      <c r="AG5" s="2"/>
      <c r="AH5" s="3">
        <v>1200</v>
      </c>
      <c r="AI5" s="3">
        <v>1200</v>
      </c>
      <c r="AJ5" s="2" t="s">
        <v>8</v>
      </c>
      <c r="AK5" s="2"/>
      <c r="AL5" s="2"/>
      <c r="AM5" s="2"/>
      <c r="AN5" s="3">
        <v>0</v>
      </c>
      <c r="AO5" s="2"/>
      <c r="AP5" s="3">
        <v>0</v>
      </c>
      <c r="AQ5" s="2"/>
      <c r="AR5" s="2"/>
      <c r="AS5" s="8">
        <v>1250</v>
      </c>
      <c r="AT5" s="5" t="str">
        <f>IF(表格1[[#This Row],[標準價 | Standard Price]]=表格1[[#This Row],[單價 | unit price]],"標準價","特殊價")</f>
        <v>特殊價</v>
      </c>
    </row>
    <row r="6" spans="1:46" ht="18.75">
      <c r="A6" s="2"/>
      <c r="B6" s="2" t="s">
        <v>34</v>
      </c>
      <c r="C6" s="2" t="s">
        <v>35</v>
      </c>
      <c r="D6" s="2" t="s">
        <v>36</v>
      </c>
      <c r="E6" s="2" t="s">
        <v>17</v>
      </c>
      <c r="F6" s="2"/>
      <c r="G6" s="2" t="s">
        <v>4</v>
      </c>
      <c r="H6" s="3">
        <v>1</v>
      </c>
      <c r="I6" s="3">
        <v>1600</v>
      </c>
      <c r="J6" s="3">
        <v>80</v>
      </c>
      <c r="K6" s="3">
        <v>0</v>
      </c>
      <c r="L6" s="2" t="s">
        <v>5</v>
      </c>
      <c r="M6" s="2" t="s">
        <v>37</v>
      </c>
      <c r="N6" s="2" t="s">
        <v>7</v>
      </c>
      <c r="O6" s="2" t="s">
        <v>8</v>
      </c>
      <c r="P6" s="2" t="s">
        <v>8</v>
      </c>
      <c r="Q6" s="2"/>
      <c r="R6" s="2"/>
      <c r="S6" s="2" t="s">
        <v>9</v>
      </c>
      <c r="T6" s="2" t="s">
        <v>10</v>
      </c>
      <c r="U6" s="3">
        <v>0</v>
      </c>
      <c r="V6" s="3">
        <v>0</v>
      </c>
      <c r="W6" s="2" t="s">
        <v>38</v>
      </c>
      <c r="X6" s="2" t="s">
        <v>39</v>
      </c>
      <c r="Y6" s="2" t="s">
        <v>40</v>
      </c>
      <c r="Z6" s="3">
        <v>1</v>
      </c>
      <c r="AA6" s="3">
        <v>0</v>
      </c>
      <c r="AB6" s="2" t="s">
        <v>41</v>
      </c>
      <c r="AC6" s="2"/>
      <c r="AD6" s="2" t="s">
        <v>17</v>
      </c>
      <c r="AE6" s="2"/>
      <c r="AF6" s="2"/>
      <c r="AG6" s="2"/>
      <c r="AH6" s="3">
        <v>1600</v>
      </c>
      <c r="AI6" s="3">
        <v>1600</v>
      </c>
      <c r="AJ6" s="2" t="s">
        <v>16</v>
      </c>
      <c r="AK6" s="2"/>
      <c r="AL6" s="2"/>
      <c r="AM6" s="2"/>
      <c r="AN6" s="3">
        <v>0</v>
      </c>
      <c r="AO6" s="2"/>
      <c r="AP6" s="3">
        <v>0</v>
      </c>
      <c r="AQ6" s="3">
        <v>0</v>
      </c>
      <c r="AR6" s="3">
        <v>0</v>
      </c>
      <c r="AS6" s="8">
        <v>1750</v>
      </c>
      <c r="AT6" s="5" t="str">
        <f>IF(表格1[[#This Row],[標準價 | Standard Price]]=表格1[[#This Row],[單價 | unit price]],"標準價","特殊價")</f>
        <v>特殊價</v>
      </c>
    </row>
    <row r="7" spans="1:46" ht="18.75">
      <c r="A7" s="2"/>
      <c r="B7" s="2" t="s">
        <v>42</v>
      </c>
      <c r="C7" s="2" t="s">
        <v>43</v>
      </c>
      <c r="D7" s="2" t="s">
        <v>44</v>
      </c>
      <c r="E7" s="2" t="s">
        <v>17</v>
      </c>
      <c r="F7" s="2"/>
      <c r="G7" s="2" t="s">
        <v>4</v>
      </c>
      <c r="H7" s="3">
        <v>1</v>
      </c>
      <c r="I7" s="3">
        <v>4190</v>
      </c>
      <c r="J7" s="4">
        <v>209.5</v>
      </c>
      <c r="K7" s="3">
        <v>0</v>
      </c>
      <c r="L7" s="2" t="s">
        <v>5</v>
      </c>
      <c r="M7" s="2" t="s">
        <v>45</v>
      </c>
      <c r="N7" s="2" t="s">
        <v>7</v>
      </c>
      <c r="O7" s="2" t="s">
        <v>8</v>
      </c>
      <c r="P7" s="2" t="s">
        <v>8</v>
      </c>
      <c r="Q7" s="2"/>
      <c r="R7" s="2"/>
      <c r="S7" s="2" t="s">
        <v>46</v>
      </c>
      <c r="T7" s="2" t="s">
        <v>47</v>
      </c>
      <c r="U7" s="3">
        <v>0</v>
      </c>
      <c r="V7" s="3">
        <v>0</v>
      </c>
      <c r="W7" s="2" t="s">
        <v>48</v>
      </c>
      <c r="X7" s="2" t="s">
        <v>49</v>
      </c>
      <c r="Y7" s="2" t="s">
        <v>50</v>
      </c>
      <c r="Z7" s="3">
        <v>1</v>
      </c>
      <c r="AA7" s="3">
        <v>0</v>
      </c>
      <c r="AB7" s="2" t="s">
        <v>41</v>
      </c>
      <c r="AC7" s="2"/>
      <c r="AD7" s="2" t="s">
        <v>17</v>
      </c>
      <c r="AE7" s="2"/>
      <c r="AF7" s="2"/>
      <c r="AG7" s="2"/>
      <c r="AH7" s="3">
        <v>2000</v>
      </c>
      <c r="AI7" s="3">
        <v>2000</v>
      </c>
      <c r="AJ7" s="2" t="s">
        <v>16</v>
      </c>
      <c r="AK7" s="2"/>
      <c r="AL7" s="2"/>
      <c r="AM7" s="2"/>
      <c r="AN7" s="3">
        <v>0</v>
      </c>
      <c r="AO7" s="2"/>
      <c r="AP7" s="3">
        <v>0</v>
      </c>
      <c r="AQ7" s="3">
        <v>0</v>
      </c>
      <c r="AR7" s="3">
        <v>0</v>
      </c>
      <c r="AS7" s="8">
        <v>2000</v>
      </c>
      <c r="AT7" s="5" t="str">
        <f>IF(表格1[[#This Row],[標準價 | Standard Price]]=表格1[[#This Row],[單價 | unit price]],"標準價","特殊價")</f>
        <v>標準價</v>
      </c>
    </row>
    <row r="8" spans="1:46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51</v>
      </c>
      <c r="X8" s="2" t="s">
        <v>52</v>
      </c>
      <c r="Y8" s="2" t="s">
        <v>53</v>
      </c>
      <c r="Z8" s="3">
        <v>1</v>
      </c>
      <c r="AA8" s="3">
        <v>0</v>
      </c>
      <c r="AB8" s="2" t="s">
        <v>41</v>
      </c>
      <c r="AC8" s="2"/>
      <c r="AD8" s="2" t="s">
        <v>17</v>
      </c>
      <c r="AE8" s="2"/>
      <c r="AF8" s="2"/>
      <c r="AG8" s="2"/>
      <c r="AH8" s="3">
        <v>90</v>
      </c>
      <c r="AI8" s="3">
        <v>90</v>
      </c>
      <c r="AJ8" s="2" t="s">
        <v>16</v>
      </c>
      <c r="AK8" s="2"/>
      <c r="AL8" s="2"/>
      <c r="AM8" s="2"/>
      <c r="AN8" s="3">
        <v>0</v>
      </c>
      <c r="AO8" s="2"/>
      <c r="AP8" s="3">
        <v>0</v>
      </c>
      <c r="AQ8" s="2"/>
      <c r="AR8" s="2"/>
      <c r="AS8" s="8">
        <v>90</v>
      </c>
      <c r="AT8" s="5" t="str">
        <f>IF(表格1[[#This Row],[標準價 | Standard Price]]=表格1[[#This Row],[單價 | unit price]],"標準價","特殊價")</f>
        <v>標準價</v>
      </c>
    </row>
    <row r="9" spans="1:46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54</v>
      </c>
      <c r="X9" s="2" t="s">
        <v>55</v>
      </c>
      <c r="Y9" s="2" t="s">
        <v>50</v>
      </c>
      <c r="Z9" s="3">
        <v>1</v>
      </c>
      <c r="AA9" s="3">
        <v>0</v>
      </c>
      <c r="AB9" s="2" t="s">
        <v>41</v>
      </c>
      <c r="AC9" s="2"/>
      <c r="AD9" s="2" t="s">
        <v>17</v>
      </c>
      <c r="AE9" s="2"/>
      <c r="AF9" s="2"/>
      <c r="AG9" s="2"/>
      <c r="AH9" s="3">
        <v>2100</v>
      </c>
      <c r="AI9" s="3">
        <v>2100</v>
      </c>
      <c r="AJ9" s="2" t="s">
        <v>16</v>
      </c>
      <c r="AK9" s="2"/>
      <c r="AL9" s="2"/>
      <c r="AM9" s="2"/>
      <c r="AN9" s="3">
        <v>0</v>
      </c>
      <c r="AO9" s="2"/>
      <c r="AP9" s="3">
        <v>0</v>
      </c>
      <c r="AQ9" s="2"/>
      <c r="AR9" s="2"/>
      <c r="AS9" s="8">
        <v>2100</v>
      </c>
      <c r="AT9" s="5" t="str">
        <f>IF(表格1[[#This Row],[標準價 | Standard Price]]=表格1[[#This Row],[單價 | unit price]],"標準價","特殊價")</f>
        <v>標準價</v>
      </c>
    </row>
    <row r="10" spans="1:46" ht="18.75">
      <c r="A10" s="2"/>
      <c r="B10" s="2" t="s">
        <v>56</v>
      </c>
      <c r="C10" s="2" t="s">
        <v>57</v>
      </c>
      <c r="D10" s="2" t="s">
        <v>58</v>
      </c>
      <c r="E10" s="2" t="s">
        <v>17</v>
      </c>
      <c r="F10" s="2"/>
      <c r="G10" s="2" t="s">
        <v>4</v>
      </c>
      <c r="H10" s="3">
        <v>1</v>
      </c>
      <c r="I10" s="3">
        <v>380</v>
      </c>
      <c r="J10" s="3">
        <v>19</v>
      </c>
      <c r="K10" s="3">
        <v>0</v>
      </c>
      <c r="L10" s="2" t="s">
        <v>5</v>
      </c>
      <c r="M10" s="2" t="s">
        <v>59</v>
      </c>
      <c r="N10" s="2" t="s">
        <v>7</v>
      </c>
      <c r="O10" s="2" t="s">
        <v>8</v>
      </c>
      <c r="P10" s="2" t="s">
        <v>8</v>
      </c>
      <c r="Q10" s="2"/>
      <c r="R10" s="2"/>
      <c r="S10" s="2" t="s">
        <v>46</v>
      </c>
      <c r="T10" s="2" t="s">
        <v>47</v>
      </c>
      <c r="U10" s="3">
        <v>0</v>
      </c>
      <c r="V10" s="3">
        <v>0</v>
      </c>
      <c r="W10" s="2" t="s">
        <v>60</v>
      </c>
      <c r="X10" s="2" t="s">
        <v>61</v>
      </c>
      <c r="Y10" s="2" t="s">
        <v>62</v>
      </c>
      <c r="Z10" s="3">
        <v>1</v>
      </c>
      <c r="AA10" s="3">
        <v>0</v>
      </c>
      <c r="AB10" s="2" t="s">
        <v>33</v>
      </c>
      <c r="AC10" s="2"/>
      <c r="AD10" s="2" t="s">
        <v>17</v>
      </c>
      <c r="AE10" s="2"/>
      <c r="AF10" s="2"/>
      <c r="AG10" s="2"/>
      <c r="AH10" s="3">
        <v>380</v>
      </c>
      <c r="AI10" s="3">
        <v>380</v>
      </c>
      <c r="AJ10" s="2" t="s">
        <v>16</v>
      </c>
      <c r="AK10" s="2"/>
      <c r="AL10" s="2"/>
      <c r="AM10" s="2"/>
      <c r="AN10" s="3">
        <v>0</v>
      </c>
      <c r="AO10" s="2"/>
      <c r="AP10" s="3">
        <v>0</v>
      </c>
      <c r="AQ10" s="3">
        <v>0</v>
      </c>
      <c r="AR10" s="3">
        <v>0</v>
      </c>
      <c r="AS10" s="8">
        <v>390</v>
      </c>
      <c r="AT10" s="5" t="str">
        <f>IF(表格1[[#This Row],[標準價 | Standard Price]]=表格1[[#This Row],[單價 | unit price]],"標準價","特殊價")</f>
        <v>特殊價</v>
      </c>
    </row>
    <row r="11" spans="1:46" ht="18.75">
      <c r="A11" s="2"/>
      <c r="B11" s="2" t="s">
        <v>63</v>
      </c>
      <c r="C11" s="2" t="s">
        <v>64</v>
      </c>
      <c r="D11" s="2" t="s">
        <v>65</v>
      </c>
      <c r="E11" s="2" t="s">
        <v>17</v>
      </c>
      <c r="F11" s="2"/>
      <c r="G11" s="2" t="s">
        <v>4</v>
      </c>
      <c r="H11" s="3">
        <v>1</v>
      </c>
      <c r="I11" s="3">
        <v>380</v>
      </c>
      <c r="J11" s="3">
        <v>19</v>
      </c>
      <c r="K11" s="3">
        <v>0</v>
      </c>
      <c r="L11" s="2" t="s">
        <v>5</v>
      </c>
      <c r="M11" s="2" t="s">
        <v>59</v>
      </c>
      <c r="N11" s="2" t="s">
        <v>7</v>
      </c>
      <c r="O11" s="2" t="s">
        <v>8</v>
      </c>
      <c r="P11" s="2" t="s">
        <v>8</v>
      </c>
      <c r="Q11" s="2"/>
      <c r="R11" s="2"/>
      <c r="S11" s="2" t="s">
        <v>46</v>
      </c>
      <c r="T11" s="2" t="s">
        <v>47</v>
      </c>
      <c r="U11" s="3">
        <v>0</v>
      </c>
      <c r="V11" s="3">
        <v>0</v>
      </c>
      <c r="W11" s="2" t="s">
        <v>60</v>
      </c>
      <c r="X11" s="2" t="s">
        <v>61</v>
      </c>
      <c r="Y11" s="2" t="s">
        <v>62</v>
      </c>
      <c r="Z11" s="3">
        <v>1</v>
      </c>
      <c r="AA11" s="3">
        <v>0</v>
      </c>
      <c r="AB11" s="2" t="s">
        <v>33</v>
      </c>
      <c r="AC11" s="2"/>
      <c r="AD11" s="2" t="s">
        <v>17</v>
      </c>
      <c r="AE11" s="2"/>
      <c r="AF11" s="2"/>
      <c r="AG11" s="2"/>
      <c r="AH11" s="3">
        <v>380</v>
      </c>
      <c r="AI11" s="3">
        <v>380</v>
      </c>
      <c r="AJ11" s="2" t="s">
        <v>16</v>
      </c>
      <c r="AK11" s="2"/>
      <c r="AL11" s="2"/>
      <c r="AM11" s="2"/>
      <c r="AN11" s="3">
        <v>0</v>
      </c>
      <c r="AO11" s="2"/>
      <c r="AP11" s="3">
        <v>0</v>
      </c>
      <c r="AQ11" s="3">
        <v>0</v>
      </c>
      <c r="AR11" s="3">
        <v>0</v>
      </c>
      <c r="AS11" s="8">
        <v>390</v>
      </c>
      <c r="AT11" s="5" t="str">
        <f>IF(表格1[[#This Row],[標準價 | Standard Price]]=表格1[[#This Row],[單價 | unit price]],"標準價","特殊價")</f>
        <v>特殊價</v>
      </c>
    </row>
    <row r="12" spans="1:46" ht="18.75">
      <c r="A12" s="2"/>
      <c r="B12" s="2" t="s">
        <v>66</v>
      </c>
      <c r="C12" s="2" t="s">
        <v>67</v>
      </c>
      <c r="D12" s="2" t="s">
        <v>68</v>
      </c>
      <c r="E12" s="2" t="s">
        <v>17</v>
      </c>
      <c r="F12" s="2"/>
      <c r="G12" s="2" t="s">
        <v>4</v>
      </c>
      <c r="H12" s="3">
        <v>1</v>
      </c>
      <c r="I12" s="3">
        <v>380</v>
      </c>
      <c r="J12" s="3">
        <v>19</v>
      </c>
      <c r="K12" s="3">
        <v>0</v>
      </c>
      <c r="L12" s="2" t="s">
        <v>5</v>
      </c>
      <c r="M12" s="2" t="s">
        <v>59</v>
      </c>
      <c r="N12" s="2" t="s">
        <v>7</v>
      </c>
      <c r="O12" s="2" t="s">
        <v>8</v>
      </c>
      <c r="P12" s="2" t="s">
        <v>8</v>
      </c>
      <c r="Q12" s="2"/>
      <c r="R12" s="2"/>
      <c r="S12" s="2" t="s">
        <v>46</v>
      </c>
      <c r="T12" s="2" t="s">
        <v>47</v>
      </c>
      <c r="U12" s="3">
        <v>0</v>
      </c>
      <c r="V12" s="3">
        <v>0</v>
      </c>
      <c r="W12" s="2" t="s">
        <v>60</v>
      </c>
      <c r="X12" s="2" t="s">
        <v>61</v>
      </c>
      <c r="Y12" s="2" t="s">
        <v>62</v>
      </c>
      <c r="Z12" s="3">
        <v>1</v>
      </c>
      <c r="AA12" s="3">
        <v>0</v>
      </c>
      <c r="AB12" s="2" t="s">
        <v>33</v>
      </c>
      <c r="AC12" s="2"/>
      <c r="AD12" s="2" t="s">
        <v>17</v>
      </c>
      <c r="AE12" s="2"/>
      <c r="AF12" s="2"/>
      <c r="AG12" s="2"/>
      <c r="AH12" s="3">
        <v>380</v>
      </c>
      <c r="AI12" s="3">
        <v>380</v>
      </c>
      <c r="AJ12" s="2" t="s">
        <v>16</v>
      </c>
      <c r="AK12" s="2"/>
      <c r="AL12" s="2"/>
      <c r="AM12" s="2"/>
      <c r="AN12" s="3">
        <v>0</v>
      </c>
      <c r="AO12" s="2"/>
      <c r="AP12" s="3">
        <v>0</v>
      </c>
      <c r="AQ12" s="3">
        <v>0</v>
      </c>
      <c r="AR12" s="3">
        <v>0</v>
      </c>
      <c r="AS12" s="8">
        <v>390</v>
      </c>
      <c r="AT12" s="5" t="str">
        <f>IF(表格1[[#This Row],[標準價 | Standard Price]]=表格1[[#This Row],[單價 | unit price]],"標準價","特殊價")</f>
        <v>特殊價</v>
      </c>
    </row>
    <row r="13" spans="1:46" ht="18.75">
      <c r="A13" s="2"/>
      <c r="B13" s="2" t="s">
        <v>69</v>
      </c>
      <c r="C13" s="2" t="s">
        <v>70</v>
      </c>
      <c r="D13" s="2" t="s">
        <v>71</v>
      </c>
      <c r="E13" s="2" t="s">
        <v>17</v>
      </c>
      <c r="F13" s="2"/>
      <c r="G13" s="2" t="s">
        <v>4</v>
      </c>
      <c r="H13" s="3">
        <v>1</v>
      </c>
      <c r="I13" s="3">
        <v>380</v>
      </c>
      <c r="J13" s="3">
        <v>19</v>
      </c>
      <c r="K13" s="3">
        <v>0</v>
      </c>
      <c r="L13" s="2" t="s">
        <v>5</v>
      </c>
      <c r="M13" s="2" t="s">
        <v>59</v>
      </c>
      <c r="N13" s="2" t="s">
        <v>7</v>
      </c>
      <c r="O13" s="2" t="s">
        <v>8</v>
      </c>
      <c r="P13" s="2" t="s">
        <v>8</v>
      </c>
      <c r="Q13" s="2"/>
      <c r="R13" s="2"/>
      <c r="S13" s="2" t="s">
        <v>46</v>
      </c>
      <c r="T13" s="2" t="s">
        <v>47</v>
      </c>
      <c r="U13" s="3">
        <v>0</v>
      </c>
      <c r="V13" s="3">
        <v>0</v>
      </c>
      <c r="W13" s="2" t="s">
        <v>60</v>
      </c>
      <c r="X13" s="2" t="s">
        <v>61</v>
      </c>
      <c r="Y13" s="2" t="s">
        <v>62</v>
      </c>
      <c r="Z13" s="3">
        <v>1</v>
      </c>
      <c r="AA13" s="3">
        <v>0</v>
      </c>
      <c r="AB13" s="2" t="s">
        <v>33</v>
      </c>
      <c r="AC13" s="2"/>
      <c r="AD13" s="2" t="s">
        <v>17</v>
      </c>
      <c r="AE13" s="2"/>
      <c r="AF13" s="2"/>
      <c r="AG13" s="2"/>
      <c r="AH13" s="3">
        <v>380</v>
      </c>
      <c r="AI13" s="3">
        <v>380</v>
      </c>
      <c r="AJ13" s="2" t="s">
        <v>16</v>
      </c>
      <c r="AK13" s="2"/>
      <c r="AL13" s="2"/>
      <c r="AM13" s="2"/>
      <c r="AN13" s="3">
        <v>0</v>
      </c>
      <c r="AO13" s="2"/>
      <c r="AP13" s="3">
        <v>0</v>
      </c>
      <c r="AQ13" s="3">
        <v>0</v>
      </c>
      <c r="AR13" s="3">
        <v>0</v>
      </c>
      <c r="AS13" s="8">
        <v>390</v>
      </c>
      <c r="AT13" s="5" t="str">
        <f>IF(表格1[[#This Row],[標準價 | Standard Price]]=表格1[[#This Row],[單價 | unit price]],"標準價","特殊價")</f>
        <v>特殊價</v>
      </c>
    </row>
    <row r="14" spans="1:46" ht="18.75">
      <c r="A14" s="2"/>
      <c r="B14" s="2" t="s">
        <v>72</v>
      </c>
      <c r="C14" s="2" t="s">
        <v>73</v>
      </c>
      <c r="D14" s="2" t="s">
        <v>74</v>
      </c>
      <c r="E14" s="2" t="s">
        <v>17</v>
      </c>
      <c r="F14" s="2"/>
      <c r="G14" s="2" t="s">
        <v>4</v>
      </c>
      <c r="H14" s="3">
        <v>1</v>
      </c>
      <c r="I14" s="3">
        <v>380</v>
      </c>
      <c r="J14" s="3">
        <v>19</v>
      </c>
      <c r="K14" s="3">
        <v>0</v>
      </c>
      <c r="L14" s="2" t="s">
        <v>5</v>
      </c>
      <c r="M14" s="2" t="s">
        <v>59</v>
      </c>
      <c r="N14" s="2" t="s">
        <v>7</v>
      </c>
      <c r="O14" s="2" t="s">
        <v>8</v>
      </c>
      <c r="P14" s="2" t="s">
        <v>8</v>
      </c>
      <c r="Q14" s="2"/>
      <c r="R14" s="2"/>
      <c r="S14" s="2" t="s">
        <v>46</v>
      </c>
      <c r="T14" s="2" t="s">
        <v>47</v>
      </c>
      <c r="U14" s="3">
        <v>0</v>
      </c>
      <c r="V14" s="3">
        <v>0</v>
      </c>
      <c r="W14" s="2" t="s">
        <v>60</v>
      </c>
      <c r="X14" s="2" t="s">
        <v>61</v>
      </c>
      <c r="Y14" s="2" t="s">
        <v>62</v>
      </c>
      <c r="Z14" s="3">
        <v>1</v>
      </c>
      <c r="AA14" s="3">
        <v>0</v>
      </c>
      <c r="AB14" s="2" t="s">
        <v>33</v>
      </c>
      <c r="AC14" s="2"/>
      <c r="AD14" s="2" t="s">
        <v>17</v>
      </c>
      <c r="AE14" s="2"/>
      <c r="AF14" s="2"/>
      <c r="AG14" s="2"/>
      <c r="AH14" s="3">
        <v>380</v>
      </c>
      <c r="AI14" s="3">
        <v>380</v>
      </c>
      <c r="AJ14" s="2" t="s">
        <v>16</v>
      </c>
      <c r="AK14" s="2"/>
      <c r="AL14" s="2"/>
      <c r="AM14" s="2"/>
      <c r="AN14" s="3">
        <v>0</v>
      </c>
      <c r="AO14" s="2"/>
      <c r="AP14" s="3">
        <v>0</v>
      </c>
      <c r="AQ14" s="3">
        <v>0</v>
      </c>
      <c r="AR14" s="3">
        <v>0</v>
      </c>
      <c r="AS14" s="8">
        <v>390</v>
      </c>
      <c r="AT14" s="5" t="str">
        <f>IF(表格1[[#This Row],[標準價 | Standard Price]]=表格1[[#This Row],[單價 | unit price]],"標準價","特殊價")</f>
        <v>特殊價</v>
      </c>
    </row>
    <row r="15" spans="1:46" ht="18.75">
      <c r="A15" s="2"/>
      <c r="B15" s="2" t="s">
        <v>75</v>
      </c>
      <c r="C15" s="2" t="s">
        <v>76</v>
      </c>
      <c r="D15" s="2" t="s">
        <v>77</v>
      </c>
      <c r="E15" s="2" t="s">
        <v>17</v>
      </c>
      <c r="F15" s="2"/>
      <c r="G15" s="2" t="s">
        <v>4</v>
      </c>
      <c r="H15" s="3">
        <v>1</v>
      </c>
      <c r="I15" s="3">
        <v>380</v>
      </c>
      <c r="J15" s="3">
        <v>19</v>
      </c>
      <c r="K15" s="3">
        <v>0</v>
      </c>
      <c r="L15" s="2" t="s">
        <v>5</v>
      </c>
      <c r="M15" s="2" t="s">
        <v>59</v>
      </c>
      <c r="N15" s="2" t="s">
        <v>7</v>
      </c>
      <c r="O15" s="2" t="s">
        <v>8</v>
      </c>
      <c r="P15" s="2" t="s">
        <v>8</v>
      </c>
      <c r="Q15" s="2"/>
      <c r="R15" s="2"/>
      <c r="S15" s="2" t="s">
        <v>46</v>
      </c>
      <c r="T15" s="2" t="s">
        <v>47</v>
      </c>
      <c r="U15" s="3">
        <v>0</v>
      </c>
      <c r="V15" s="3">
        <v>0</v>
      </c>
      <c r="W15" s="2" t="s">
        <v>60</v>
      </c>
      <c r="X15" s="2" t="s">
        <v>61</v>
      </c>
      <c r="Y15" s="2" t="s">
        <v>62</v>
      </c>
      <c r="Z15" s="3">
        <v>1</v>
      </c>
      <c r="AA15" s="3">
        <v>0</v>
      </c>
      <c r="AB15" s="2" t="s">
        <v>33</v>
      </c>
      <c r="AC15" s="2"/>
      <c r="AD15" s="2" t="s">
        <v>17</v>
      </c>
      <c r="AE15" s="2"/>
      <c r="AF15" s="2"/>
      <c r="AG15" s="2"/>
      <c r="AH15" s="3">
        <v>380</v>
      </c>
      <c r="AI15" s="3">
        <v>380</v>
      </c>
      <c r="AJ15" s="2" t="s">
        <v>16</v>
      </c>
      <c r="AK15" s="2"/>
      <c r="AL15" s="2"/>
      <c r="AM15" s="2"/>
      <c r="AN15" s="3">
        <v>0</v>
      </c>
      <c r="AO15" s="2"/>
      <c r="AP15" s="3">
        <v>0</v>
      </c>
      <c r="AQ15" s="3">
        <v>0</v>
      </c>
      <c r="AR15" s="3">
        <v>0</v>
      </c>
      <c r="AS15" s="8">
        <v>390</v>
      </c>
      <c r="AT15" s="5" t="str">
        <f>IF(表格1[[#This Row],[標準價 | Standard Price]]=表格1[[#This Row],[單價 | unit price]],"標準價","特殊價")</f>
        <v>特殊價</v>
      </c>
    </row>
    <row r="16" spans="1:46" ht="18.75">
      <c r="A16" s="2"/>
      <c r="B16" s="2" t="s">
        <v>78</v>
      </c>
      <c r="C16" s="2" t="s">
        <v>79</v>
      </c>
      <c r="D16" s="2" t="s">
        <v>80</v>
      </c>
      <c r="E16" s="2" t="s">
        <v>17</v>
      </c>
      <c r="F16" s="2"/>
      <c r="G16" s="2" t="s">
        <v>4</v>
      </c>
      <c r="H16" s="3">
        <v>1</v>
      </c>
      <c r="I16" s="3">
        <v>380</v>
      </c>
      <c r="J16" s="3">
        <v>19</v>
      </c>
      <c r="K16" s="3">
        <v>0</v>
      </c>
      <c r="L16" s="2" t="s">
        <v>5</v>
      </c>
      <c r="M16" s="2" t="s">
        <v>59</v>
      </c>
      <c r="N16" s="2" t="s">
        <v>7</v>
      </c>
      <c r="O16" s="2" t="s">
        <v>8</v>
      </c>
      <c r="P16" s="2" t="s">
        <v>8</v>
      </c>
      <c r="Q16" s="2"/>
      <c r="R16" s="2"/>
      <c r="S16" s="2" t="s">
        <v>46</v>
      </c>
      <c r="T16" s="2" t="s">
        <v>47</v>
      </c>
      <c r="U16" s="3">
        <v>0</v>
      </c>
      <c r="V16" s="3">
        <v>0</v>
      </c>
      <c r="W16" s="2" t="s">
        <v>60</v>
      </c>
      <c r="X16" s="2" t="s">
        <v>61</v>
      </c>
      <c r="Y16" s="2" t="s">
        <v>62</v>
      </c>
      <c r="Z16" s="3">
        <v>1</v>
      </c>
      <c r="AA16" s="3">
        <v>0</v>
      </c>
      <c r="AB16" s="2" t="s">
        <v>33</v>
      </c>
      <c r="AC16" s="2"/>
      <c r="AD16" s="2" t="s">
        <v>17</v>
      </c>
      <c r="AE16" s="2"/>
      <c r="AF16" s="2"/>
      <c r="AG16" s="2"/>
      <c r="AH16" s="3">
        <v>380</v>
      </c>
      <c r="AI16" s="3">
        <v>380</v>
      </c>
      <c r="AJ16" s="2" t="s">
        <v>16</v>
      </c>
      <c r="AK16" s="2"/>
      <c r="AL16" s="2"/>
      <c r="AM16" s="2"/>
      <c r="AN16" s="3">
        <v>0</v>
      </c>
      <c r="AO16" s="2"/>
      <c r="AP16" s="3">
        <v>0</v>
      </c>
      <c r="AQ16" s="3">
        <v>0</v>
      </c>
      <c r="AR16" s="3">
        <v>0</v>
      </c>
      <c r="AS16" s="8">
        <v>390</v>
      </c>
      <c r="AT16" s="5" t="str">
        <f>IF(表格1[[#This Row],[標準價 | Standard Price]]=表格1[[#This Row],[單價 | unit price]],"標準價","特殊價")</f>
        <v>特殊價</v>
      </c>
    </row>
    <row r="17" spans="1:46" ht="18.75">
      <c r="A17" s="2"/>
      <c r="B17" s="2" t="s">
        <v>81</v>
      </c>
      <c r="C17" s="2" t="s">
        <v>82</v>
      </c>
      <c r="D17" s="2" t="s">
        <v>83</v>
      </c>
      <c r="E17" s="2" t="s">
        <v>17</v>
      </c>
      <c r="F17" s="2"/>
      <c r="G17" s="2" t="s">
        <v>4</v>
      </c>
      <c r="H17" s="3">
        <v>1</v>
      </c>
      <c r="I17" s="3">
        <v>380</v>
      </c>
      <c r="J17" s="3">
        <v>19</v>
      </c>
      <c r="K17" s="3">
        <v>0</v>
      </c>
      <c r="L17" s="2" t="s">
        <v>5</v>
      </c>
      <c r="M17" s="2" t="s">
        <v>59</v>
      </c>
      <c r="N17" s="2" t="s">
        <v>7</v>
      </c>
      <c r="O17" s="2" t="s">
        <v>8</v>
      </c>
      <c r="P17" s="2" t="s">
        <v>8</v>
      </c>
      <c r="Q17" s="2"/>
      <c r="R17" s="2"/>
      <c r="S17" s="2" t="s">
        <v>46</v>
      </c>
      <c r="T17" s="2" t="s">
        <v>47</v>
      </c>
      <c r="U17" s="3">
        <v>0</v>
      </c>
      <c r="V17" s="3">
        <v>0</v>
      </c>
      <c r="W17" s="2" t="s">
        <v>60</v>
      </c>
      <c r="X17" s="2" t="s">
        <v>61</v>
      </c>
      <c r="Y17" s="2" t="s">
        <v>62</v>
      </c>
      <c r="Z17" s="3">
        <v>1</v>
      </c>
      <c r="AA17" s="3">
        <v>0</v>
      </c>
      <c r="AB17" s="2" t="s">
        <v>33</v>
      </c>
      <c r="AC17" s="2"/>
      <c r="AD17" s="2" t="s">
        <v>17</v>
      </c>
      <c r="AE17" s="2"/>
      <c r="AF17" s="2"/>
      <c r="AG17" s="2"/>
      <c r="AH17" s="3">
        <v>380</v>
      </c>
      <c r="AI17" s="3">
        <v>380</v>
      </c>
      <c r="AJ17" s="2" t="s">
        <v>16</v>
      </c>
      <c r="AK17" s="2"/>
      <c r="AL17" s="2"/>
      <c r="AM17" s="2"/>
      <c r="AN17" s="3">
        <v>0</v>
      </c>
      <c r="AO17" s="2"/>
      <c r="AP17" s="3">
        <v>0</v>
      </c>
      <c r="AQ17" s="3">
        <v>0</v>
      </c>
      <c r="AR17" s="3">
        <v>0</v>
      </c>
      <c r="AS17" s="8">
        <v>390</v>
      </c>
      <c r="AT17" s="5" t="str">
        <f>IF(表格1[[#This Row],[標準價 | Standard Price]]=表格1[[#This Row],[單價 | unit price]],"標準價","特殊價")</f>
        <v>特殊價</v>
      </c>
    </row>
    <row r="18" spans="1:46" ht="18.75">
      <c r="A18" s="2"/>
      <c r="B18" s="2" t="s">
        <v>84</v>
      </c>
      <c r="C18" s="2" t="s">
        <v>85</v>
      </c>
      <c r="D18" s="2" t="s">
        <v>86</v>
      </c>
      <c r="E18" s="2" t="s">
        <v>17</v>
      </c>
      <c r="F18" s="2"/>
      <c r="G18" s="2" t="s">
        <v>4</v>
      </c>
      <c r="H18" s="3">
        <v>1</v>
      </c>
      <c r="I18" s="3">
        <v>380</v>
      </c>
      <c r="J18" s="3">
        <v>19</v>
      </c>
      <c r="K18" s="3">
        <v>0</v>
      </c>
      <c r="L18" s="2" t="s">
        <v>5</v>
      </c>
      <c r="M18" s="2" t="s">
        <v>59</v>
      </c>
      <c r="N18" s="2" t="s">
        <v>7</v>
      </c>
      <c r="O18" s="2" t="s">
        <v>8</v>
      </c>
      <c r="P18" s="2" t="s">
        <v>8</v>
      </c>
      <c r="Q18" s="2"/>
      <c r="R18" s="2"/>
      <c r="S18" s="2" t="s">
        <v>46</v>
      </c>
      <c r="T18" s="2" t="s">
        <v>47</v>
      </c>
      <c r="U18" s="3">
        <v>0</v>
      </c>
      <c r="V18" s="3">
        <v>0</v>
      </c>
      <c r="W18" s="2" t="s">
        <v>60</v>
      </c>
      <c r="X18" s="2" t="s">
        <v>61</v>
      </c>
      <c r="Y18" s="2" t="s">
        <v>62</v>
      </c>
      <c r="Z18" s="3">
        <v>1</v>
      </c>
      <c r="AA18" s="3">
        <v>0</v>
      </c>
      <c r="AB18" s="2" t="s">
        <v>33</v>
      </c>
      <c r="AC18" s="2"/>
      <c r="AD18" s="2" t="s">
        <v>17</v>
      </c>
      <c r="AE18" s="2"/>
      <c r="AF18" s="2"/>
      <c r="AG18" s="2"/>
      <c r="AH18" s="3">
        <v>380</v>
      </c>
      <c r="AI18" s="3">
        <v>380</v>
      </c>
      <c r="AJ18" s="2" t="s">
        <v>16</v>
      </c>
      <c r="AK18" s="2"/>
      <c r="AL18" s="2"/>
      <c r="AM18" s="2"/>
      <c r="AN18" s="3">
        <v>0</v>
      </c>
      <c r="AO18" s="2"/>
      <c r="AP18" s="3">
        <v>0</v>
      </c>
      <c r="AQ18" s="3">
        <v>0</v>
      </c>
      <c r="AR18" s="3">
        <v>0</v>
      </c>
      <c r="AS18" s="8">
        <v>390</v>
      </c>
      <c r="AT18" s="5" t="str">
        <f>IF(表格1[[#This Row],[標準價 | Standard Price]]=表格1[[#This Row],[單價 | unit price]],"標準價","特殊價")</f>
        <v>特殊價</v>
      </c>
    </row>
    <row r="19" spans="1:46" ht="18.75">
      <c r="A19" s="2"/>
      <c r="B19" s="2" t="s">
        <v>87</v>
      </c>
      <c r="C19" s="2" t="s">
        <v>88</v>
      </c>
      <c r="D19" s="2" t="s">
        <v>89</v>
      </c>
      <c r="E19" s="2" t="s">
        <v>17</v>
      </c>
      <c r="F19" s="2"/>
      <c r="G19" s="2" t="s">
        <v>4</v>
      </c>
      <c r="H19" s="3">
        <v>1</v>
      </c>
      <c r="I19" s="3">
        <v>1600</v>
      </c>
      <c r="J19" s="3">
        <v>80</v>
      </c>
      <c r="K19" s="3">
        <v>0</v>
      </c>
      <c r="L19" s="2" t="s">
        <v>5</v>
      </c>
      <c r="M19" s="2" t="s">
        <v>37</v>
      </c>
      <c r="N19" s="2" t="s">
        <v>7</v>
      </c>
      <c r="O19" s="2" t="s">
        <v>8</v>
      </c>
      <c r="P19" s="2" t="s">
        <v>8</v>
      </c>
      <c r="Q19" s="2"/>
      <c r="R19" s="2"/>
      <c r="S19" s="2" t="s">
        <v>9</v>
      </c>
      <c r="T19" s="2" t="s">
        <v>10</v>
      </c>
      <c r="U19" s="3">
        <v>0</v>
      </c>
      <c r="V19" s="3">
        <v>0</v>
      </c>
      <c r="W19" s="2" t="s">
        <v>38</v>
      </c>
      <c r="X19" s="2" t="s">
        <v>39</v>
      </c>
      <c r="Y19" s="2" t="s">
        <v>40</v>
      </c>
      <c r="Z19" s="3">
        <v>1</v>
      </c>
      <c r="AA19" s="3">
        <v>0</v>
      </c>
      <c r="AB19" s="2" t="s">
        <v>41</v>
      </c>
      <c r="AC19" s="2"/>
      <c r="AD19" s="2" t="s">
        <v>17</v>
      </c>
      <c r="AE19" s="2"/>
      <c r="AF19" s="2"/>
      <c r="AG19" s="2"/>
      <c r="AH19" s="3">
        <v>1600</v>
      </c>
      <c r="AI19" s="3">
        <v>1600</v>
      </c>
      <c r="AJ19" s="2" t="s">
        <v>16</v>
      </c>
      <c r="AK19" s="2"/>
      <c r="AL19" s="2"/>
      <c r="AM19" s="2"/>
      <c r="AN19" s="3">
        <v>0</v>
      </c>
      <c r="AO19" s="2"/>
      <c r="AP19" s="3">
        <v>0</v>
      </c>
      <c r="AQ19" s="3">
        <v>0</v>
      </c>
      <c r="AR19" s="3">
        <v>0</v>
      </c>
      <c r="AS19" s="8">
        <v>1750</v>
      </c>
      <c r="AT19" s="5" t="str">
        <f>IF(表格1[[#This Row],[標準價 | Standard Price]]=表格1[[#This Row],[單價 | unit price]],"標準價","特殊價")</f>
        <v>特殊價</v>
      </c>
    </row>
    <row r="20" spans="1:46" ht="18.75">
      <c r="A20" s="2"/>
      <c r="B20" s="2" t="s">
        <v>90</v>
      </c>
      <c r="C20" s="2" t="s">
        <v>91</v>
      </c>
      <c r="D20" s="2" t="s">
        <v>92</v>
      </c>
      <c r="E20" s="2" t="s">
        <v>17</v>
      </c>
      <c r="F20" s="2"/>
      <c r="G20" s="2" t="s">
        <v>4</v>
      </c>
      <c r="H20" s="3">
        <v>1</v>
      </c>
      <c r="I20" s="3">
        <v>10900</v>
      </c>
      <c r="J20" s="3">
        <v>545</v>
      </c>
      <c r="K20" s="3">
        <v>0</v>
      </c>
      <c r="L20" s="2" t="s">
        <v>5</v>
      </c>
      <c r="M20" s="2" t="s">
        <v>37</v>
      </c>
      <c r="N20" s="2" t="s">
        <v>7</v>
      </c>
      <c r="O20" s="2" t="s">
        <v>8</v>
      </c>
      <c r="P20" s="2" t="s">
        <v>8</v>
      </c>
      <c r="Q20" s="2"/>
      <c r="R20" s="2"/>
      <c r="S20" s="2" t="s">
        <v>93</v>
      </c>
      <c r="T20" s="2" t="s">
        <v>94</v>
      </c>
      <c r="U20" s="3">
        <v>0</v>
      </c>
      <c r="V20" s="3">
        <v>0</v>
      </c>
      <c r="W20" s="2" t="s">
        <v>95</v>
      </c>
      <c r="X20" s="2" t="s">
        <v>96</v>
      </c>
      <c r="Y20" s="2" t="s">
        <v>97</v>
      </c>
      <c r="Z20" s="3">
        <v>1</v>
      </c>
      <c r="AA20" s="3">
        <v>0</v>
      </c>
      <c r="AB20" s="2" t="s">
        <v>98</v>
      </c>
      <c r="AC20" s="2"/>
      <c r="AD20" s="2" t="s">
        <v>15</v>
      </c>
      <c r="AE20" s="2"/>
      <c r="AF20" s="2"/>
      <c r="AG20" s="2"/>
      <c r="AH20" s="3">
        <v>5900</v>
      </c>
      <c r="AI20" s="3">
        <v>5900</v>
      </c>
      <c r="AJ20" s="2" t="s">
        <v>16</v>
      </c>
      <c r="AK20" s="2"/>
      <c r="AL20" s="2"/>
      <c r="AM20" s="2"/>
      <c r="AN20" s="3">
        <v>0</v>
      </c>
      <c r="AO20" s="2"/>
      <c r="AP20" s="3">
        <v>0</v>
      </c>
      <c r="AQ20" s="3">
        <v>0</v>
      </c>
      <c r="AR20" s="3">
        <v>0</v>
      </c>
      <c r="AS20" s="8">
        <v>5900</v>
      </c>
      <c r="AT20" s="5" t="str">
        <f>IF(表格1[[#This Row],[標準價 | Standard Price]]=表格1[[#This Row],[單價 | unit price]],"標準價","特殊價")</f>
        <v>標準價</v>
      </c>
    </row>
    <row r="21" spans="1:46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95</v>
      </c>
      <c r="X21" s="2" t="s">
        <v>96</v>
      </c>
      <c r="Y21" s="2" t="s">
        <v>97</v>
      </c>
      <c r="Z21" s="3">
        <v>1</v>
      </c>
      <c r="AA21" s="3">
        <v>0</v>
      </c>
      <c r="AB21" s="2" t="s">
        <v>98</v>
      </c>
      <c r="AC21" s="2"/>
      <c r="AD21" s="2" t="s">
        <v>0</v>
      </c>
      <c r="AE21" s="2"/>
      <c r="AF21" s="2"/>
      <c r="AG21" s="2"/>
      <c r="AH21" s="3">
        <v>5000</v>
      </c>
      <c r="AI21" s="3">
        <v>5000</v>
      </c>
      <c r="AJ21" s="2" t="s">
        <v>16</v>
      </c>
      <c r="AK21" s="2"/>
      <c r="AL21" s="2"/>
      <c r="AM21" s="2"/>
      <c r="AN21" s="3">
        <v>0</v>
      </c>
      <c r="AO21" s="2"/>
      <c r="AP21" s="3">
        <v>0</v>
      </c>
      <c r="AQ21" s="2"/>
      <c r="AR21" s="2"/>
      <c r="AS21" s="8">
        <v>5900</v>
      </c>
      <c r="AT21" s="5" t="str">
        <f>IF(表格1[[#This Row],[標準價 | Standard Price]]=表格1[[#This Row],[單價 | unit price]],"標準價","特殊價")</f>
        <v>特殊價</v>
      </c>
    </row>
    <row r="22" spans="1:46" ht="18.7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99</v>
      </c>
      <c r="F22" s="2"/>
      <c r="G22" s="2" t="s">
        <v>4</v>
      </c>
      <c r="H22" s="3">
        <v>1</v>
      </c>
      <c r="I22" s="3">
        <v>2093</v>
      </c>
      <c r="J22" s="6">
        <v>104.65</v>
      </c>
      <c r="K22" s="3">
        <v>0</v>
      </c>
      <c r="L22" s="2" t="s">
        <v>5</v>
      </c>
      <c r="M22" s="2" t="s">
        <v>103</v>
      </c>
      <c r="N22" s="2" t="s">
        <v>7</v>
      </c>
      <c r="O22" s="2" t="s">
        <v>8</v>
      </c>
      <c r="P22" s="2" t="s">
        <v>8</v>
      </c>
      <c r="Q22" s="2"/>
      <c r="R22" s="2"/>
      <c r="S22" s="2" t="s">
        <v>9</v>
      </c>
      <c r="T22" s="2" t="s">
        <v>10</v>
      </c>
      <c r="U22" s="3">
        <v>0</v>
      </c>
      <c r="V22" s="3">
        <v>0</v>
      </c>
      <c r="W22" s="2" t="s">
        <v>104</v>
      </c>
      <c r="X22" s="2" t="s">
        <v>105</v>
      </c>
      <c r="Y22" s="2" t="s">
        <v>40</v>
      </c>
      <c r="Z22" s="3">
        <v>1</v>
      </c>
      <c r="AA22" s="3">
        <v>0</v>
      </c>
      <c r="AB22" s="2" t="s">
        <v>41</v>
      </c>
      <c r="AC22" s="2"/>
      <c r="AD22" s="2" t="s">
        <v>106</v>
      </c>
      <c r="AE22" s="2"/>
      <c r="AF22" s="2"/>
      <c r="AG22" s="2"/>
      <c r="AH22" s="3">
        <v>2093</v>
      </c>
      <c r="AI22" s="3">
        <v>2093</v>
      </c>
      <c r="AJ22" s="2" t="s">
        <v>16</v>
      </c>
      <c r="AK22" s="2"/>
      <c r="AL22" s="2"/>
      <c r="AM22" s="2"/>
      <c r="AN22" s="3">
        <v>0</v>
      </c>
      <c r="AO22" s="2"/>
      <c r="AP22" s="3">
        <v>0</v>
      </c>
      <c r="AQ22" s="3">
        <v>0</v>
      </c>
      <c r="AR22" s="3">
        <v>0</v>
      </c>
      <c r="AS22" s="8">
        <v>1950</v>
      </c>
      <c r="AT22" s="5" t="str">
        <f>IF(表格1[[#This Row],[標準價 | Standard Price]]=表格1[[#This Row],[單價 | unit price]],"標準價","特殊價")</f>
        <v>特殊價</v>
      </c>
    </row>
    <row r="23" spans="1:46" ht="18.75">
      <c r="A23" s="2"/>
      <c r="B23" s="2" t="s">
        <v>107</v>
      </c>
      <c r="C23" s="2" t="s">
        <v>108</v>
      </c>
      <c r="D23" s="2" t="s">
        <v>109</v>
      </c>
      <c r="E23" s="2" t="s">
        <v>99</v>
      </c>
      <c r="F23" s="2"/>
      <c r="G23" s="2" t="s">
        <v>4</v>
      </c>
      <c r="H23" s="3">
        <v>1</v>
      </c>
      <c r="I23" s="3">
        <v>2855</v>
      </c>
      <c r="J23" s="6">
        <v>142.75</v>
      </c>
      <c r="K23" s="3">
        <v>0</v>
      </c>
      <c r="L23" s="2" t="s">
        <v>5</v>
      </c>
      <c r="M23" s="2" t="s">
        <v>103</v>
      </c>
      <c r="N23" s="2" t="s">
        <v>7</v>
      </c>
      <c r="O23" s="2" t="s">
        <v>8</v>
      </c>
      <c r="P23" s="2" t="s">
        <v>8</v>
      </c>
      <c r="Q23" s="2"/>
      <c r="R23" s="2"/>
      <c r="S23" s="2" t="s">
        <v>110</v>
      </c>
      <c r="T23" s="2" t="s">
        <v>111</v>
      </c>
      <c r="U23" s="3">
        <v>0</v>
      </c>
      <c r="V23" s="3">
        <v>0</v>
      </c>
      <c r="W23" s="2" t="s">
        <v>112</v>
      </c>
      <c r="X23" s="2" t="s">
        <v>113</v>
      </c>
      <c r="Y23" s="2" t="s">
        <v>62</v>
      </c>
      <c r="Z23" s="3">
        <v>1</v>
      </c>
      <c r="AA23" s="3">
        <v>0</v>
      </c>
      <c r="AB23" s="2" t="s">
        <v>33</v>
      </c>
      <c r="AC23" s="2"/>
      <c r="AD23" s="2" t="s">
        <v>17</v>
      </c>
      <c r="AE23" s="2"/>
      <c r="AF23" s="2"/>
      <c r="AG23" s="2"/>
      <c r="AH23" s="3">
        <v>480</v>
      </c>
      <c r="AI23" s="3">
        <v>480</v>
      </c>
      <c r="AJ23" s="2" t="s">
        <v>16</v>
      </c>
      <c r="AK23" s="2"/>
      <c r="AL23" s="2"/>
      <c r="AM23" s="2"/>
      <c r="AN23" s="3">
        <v>0</v>
      </c>
      <c r="AO23" s="2"/>
      <c r="AP23" s="3">
        <v>0</v>
      </c>
      <c r="AQ23" s="3">
        <v>0</v>
      </c>
      <c r="AR23" s="3">
        <v>0</v>
      </c>
      <c r="AS23" s="8">
        <v>480</v>
      </c>
      <c r="AT23" s="5" t="str">
        <f>IF(表格1[[#This Row],[標準價 | Standard Price]]=表格1[[#This Row],[單價 | unit price]],"標準價","特殊價")</f>
        <v>標準價</v>
      </c>
    </row>
    <row r="24" spans="1:46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112</v>
      </c>
      <c r="X24" s="2" t="s">
        <v>113</v>
      </c>
      <c r="Y24" s="2" t="s">
        <v>62</v>
      </c>
      <c r="Z24" s="3">
        <v>5</v>
      </c>
      <c r="AA24" s="3">
        <v>0</v>
      </c>
      <c r="AB24" s="2" t="s">
        <v>33</v>
      </c>
      <c r="AC24" s="2"/>
      <c r="AD24" s="2" t="s">
        <v>17</v>
      </c>
      <c r="AE24" s="2"/>
      <c r="AF24" s="2"/>
      <c r="AG24" s="2"/>
      <c r="AH24" s="3">
        <v>475</v>
      </c>
      <c r="AI24" s="3">
        <v>475</v>
      </c>
      <c r="AJ24" s="2" t="s">
        <v>8</v>
      </c>
      <c r="AK24" s="2"/>
      <c r="AL24" s="2"/>
      <c r="AM24" s="2"/>
      <c r="AN24" s="3">
        <v>0</v>
      </c>
      <c r="AO24" s="2"/>
      <c r="AP24" s="3">
        <v>0</v>
      </c>
      <c r="AQ24" s="2"/>
      <c r="AR24" s="2"/>
      <c r="AS24" s="8">
        <v>480</v>
      </c>
      <c r="AT24" s="5" t="str">
        <f>IF(表格1[[#This Row],[標準價 | Standard Price]]=表格1[[#This Row],[單價 | unit price]],"標準價","特殊價")</f>
        <v>特殊價</v>
      </c>
    </row>
    <row r="25" spans="1:46" ht="18.75">
      <c r="A25" s="2"/>
      <c r="B25" s="2" t="s">
        <v>114</v>
      </c>
      <c r="C25" s="2" t="s">
        <v>115</v>
      </c>
      <c r="D25" s="2" t="s">
        <v>116</v>
      </c>
      <c r="E25" s="2" t="s">
        <v>99</v>
      </c>
      <c r="F25" s="2"/>
      <c r="G25" s="2" t="s">
        <v>4</v>
      </c>
      <c r="H25" s="3">
        <v>1</v>
      </c>
      <c r="I25" s="3">
        <v>2093</v>
      </c>
      <c r="J25" s="6">
        <v>104.65</v>
      </c>
      <c r="K25" s="3">
        <v>0</v>
      </c>
      <c r="L25" s="2" t="s">
        <v>5</v>
      </c>
      <c r="M25" s="2" t="s">
        <v>103</v>
      </c>
      <c r="N25" s="2" t="s">
        <v>7</v>
      </c>
      <c r="O25" s="2" t="s">
        <v>8</v>
      </c>
      <c r="P25" s="2" t="s">
        <v>8</v>
      </c>
      <c r="Q25" s="2"/>
      <c r="R25" s="2"/>
      <c r="S25" s="2" t="s">
        <v>9</v>
      </c>
      <c r="T25" s="2" t="s">
        <v>10</v>
      </c>
      <c r="U25" s="3">
        <v>0</v>
      </c>
      <c r="V25" s="3">
        <v>0</v>
      </c>
      <c r="W25" s="2" t="s">
        <v>104</v>
      </c>
      <c r="X25" s="2" t="s">
        <v>105</v>
      </c>
      <c r="Y25" s="2" t="s">
        <v>40</v>
      </c>
      <c r="Z25" s="3">
        <v>1</v>
      </c>
      <c r="AA25" s="3">
        <v>0</v>
      </c>
      <c r="AB25" s="2" t="s">
        <v>41</v>
      </c>
      <c r="AC25" s="2"/>
      <c r="AD25" s="2" t="s">
        <v>106</v>
      </c>
      <c r="AE25" s="2"/>
      <c r="AF25" s="2"/>
      <c r="AG25" s="2"/>
      <c r="AH25" s="3">
        <v>2093</v>
      </c>
      <c r="AI25" s="3">
        <v>2093</v>
      </c>
      <c r="AJ25" s="2" t="s">
        <v>16</v>
      </c>
      <c r="AK25" s="2"/>
      <c r="AL25" s="2"/>
      <c r="AM25" s="2"/>
      <c r="AN25" s="3">
        <v>0</v>
      </c>
      <c r="AO25" s="2"/>
      <c r="AP25" s="3">
        <v>0</v>
      </c>
      <c r="AQ25" s="3">
        <v>0</v>
      </c>
      <c r="AR25" s="3">
        <v>0</v>
      </c>
      <c r="AS25" s="8">
        <v>1950</v>
      </c>
      <c r="AT25" s="5" t="str">
        <f>IF(表格1[[#This Row],[標準價 | Standard Price]]=表格1[[#This Row],[單價 | unit price]],"標準價","特殊價")</f>
        <v>特殊價</v>
      </c>
    </row>
    <row r="26" spans="1:46" ht="18.75">
      <c r="A26" s="2"/>
      <c r="B26" s="2" t="s">
        <v>117</v>
      </c>
      <c r="C26" s="2" t="s">
        <v>118</v>
      </c>
      <c r="D26" s="2" t="s">
        <v>119</v>
      </c>
      <c r="E26" s="2" t="s">
        <v>99</v>
      </c>
      <c r="F26" s="2"/>
      <c r="G26" s="2" t="s">
        <v>4</v>
      </c>
      <c r="H26" s="3">
        <v>1</v>
      </c>
      <c r="I26" s="3">
        <v>2093</v>
      </c>
      <c r="J26" s="6">
        <v>104.65</v>
      </c>
      <c r="K26" s="3">
        <v>0</v>
      </c>
      <c r="L26" s="2" t="s">
        <v>5</v>
      </c>
      <c r="M26" s="2" t="s">
        <v>103</v>
      </c>
      <c r="N26" s="2" t="s">
        <v>7</v>
      </c>
      <c r="O26" s="2" t="s">
        <v>8</v>
      </c>
      <c r="P26" s="2" t="s">
        <v>8</v>
      </c>
      <c r="Q26" s="2"/>
      <c r="R26" s="2"/>
      <c r="S26" s="2" t="s">
        <v>9</v>
      </c>
      <c r="T26" s="2" t="s">
        <v>10</v>
      </c>
      <c r="U26" s="3">
        <v>0</v>
      </c>
      <c r="V26" s="3">
        <v>0</v>
      </c>
      <c r="W26" s="2" t="s">
        <v>104</v>
      </c>
      <c r="X26" s="2" t="s">
        <v>105</v>
      </c>
      <c r="Y26" s="2" t="s">
        <v>40</v>
      </c>
      <c r="Z26" s="3">
        <v>1</v>
      </c>
      <c r="AA26" s="3">
        <v>0</v>
      </c>
      <c r="AB26" s="2" t="s">
        <v>41</v>
      </c>
      <c r="AC26" s="2"/>
      <c r="AD26" s="2" t="s">
        <v>106</v>
      </c>
      <c r="AE26" s="2"/>
      <c r="AF26" s="2"/>
      <c r="AG26" s="2"/>
      <c r="AH26" s="3">
        <v>2093</v>
      </c>
      <c r="AI26" s="3">
        <v>2093</v>
      </c>
      <c r="AJ26" s="2" t="s">
        <v>16</v>
      </c>
      <c r="AK26" s="2"/>
      <c r="AL26" s="2"/>
      <c r="AM26" s="2"/>
      <c r="AN26" s="3">
        <v>0</v>
      </c>
      <c r="AO26" s="2"/>
      <c r="AP26" s="3">
        <v>0</v>
      </c>
      <c r="AQ26" s="3">
        <v>0</v>
      </c>
      <c r="AR26" s="3">
        <v>0</v>
      </c>
      <c r="AS26" s="8">
        <v>1950</v>
      </c>
      <c r="AT26" s="5" t="str">
        <f>IF(表格1[[#This Row],[標準價 | Standard Price]]=表格1[[#This Row],[單價 | unit price]],"標準價","特殊價")</f>
        <v>特殊價</v>
      </c>
    </row>
    <row r="27" spans="1:46" ht="18.75">
      <c r="A27" s="2"/>
      <c r="B27" s="2" t="s">
        <v>120</v>
      </c>
      <c r="C27" s="2" t="s">
        <v>121</v>
      </c>
      <c r="D27" s="2" t="s">
        <v>122</v>
      </c>
      <c r="E27" s="2" t="s">
        <v>99</v>
      </c>
      <c r="F27" s="2"/>
      <c r="G27" s="2" t="s">
        <v>4</v>
      </c>
      <c r="H27" s="3">
        <v>1</v>
      </c>
      <c r="I27" s="3">
        <v>2093</v>
      </c>
      <c r="J27" s="6">
        <v>104.65</v>
      </c>
      <c r="K27" s="3">
        <v>0</v>
      </c>
      <c r="L27" s="2" t="s">
        <v>5</v>
      </c>
      <c r="M27" s="2" t="s">
        <v>103</v>
      </c>
      <c r="N27" s="2" t="s">
        <v>7</v>
      </c>
      <c r="O27" s="2" t="s">
        <v>8</v>
      </c>
      <c r="P27" s="2" t="s">
        <v>8</v>
      </c>
      <c r="Q27" s="2"/>
      <c r="R27" s="2"/>
      <c r="S27" s="2" t="s">
        <v>9</v>
      </c>
      <c r="T27" s="2" t="s">
        <v>10</v>
      </c>
      <c r="U27" s="3">
        <v>0</v>
      </c>
      <c r="V27" s="3">
        <v>0</v>
      </c>
      <c r="W27" s="2" t="s">
        <v>104</v>
      </c>
      <c r="X27" s="2" t="s">
        <v>105</v>
      </c>
      <c r="Y27" s="2" t="s">
        <v>40</v>
      </c>
      <c r="Z27" s="3">
        <v>1</v>
      </c>
      <c r="AA27" s="3">
        <v>0</v>
      </c>
      <c r="AB27" s="2" t="s">
        <v>41</v>
      </c>
      <c r="AC27" s="2"/>
      <c r="AD27" s="2" t="s">
        <v>106</v>
      </c>
      <c r="AE27" s="2"/>
      <c r="AF27" s="2"/>
      <c r="AG27" s="2"/>
      <c r="AH27" s="3">
        <v>2093</v>
      </c>
      <c r="AI27" s="3">
        <v>2093</v>
      </c>
      <c r="AJ27" s="2" t="s">
        <v>16</v>
      </c>
      <c r="AK27" s="2"/>
      <c r="AL27" s="2"/>
      <c r="AM27" s="2"/>
      <c r="AN27" s="3">
        <v>0</v>
      </c>
      <c r="AO27" s="2"/>
      <c r="AP27" s="3">
        <v>0</v>
      </c>
      <c r="AQ27" s="3">
        <v>0</v>
      </c>
      <c r="AR27" s="3">
        <v>0</v>
      </c>
      <c r="AS27" s="8">
        <v>1950</v>
      </c>
      <c r="AT27" s="5" t="str">
        <f>IF(表格1[[#This Row],[標準價 | Standard Price]]=表格1[[#This Row],[單價 | unit price]],"標準價","特殊價")</f>
        <v>特殊價</v>
      </c>
    </row>
    <row r="28" spans="1:46" ht="18.75">
      <c r="A28" s="2"/>
      <c r="B28" s="2" t="s">
        <v>123</v>
      </c>
      <c r="C28" s="2" t="s">
        <v>124</v>
      </c>
      <c r="D28" s="2" t="s">
        <v>125</v>
      </c>
      <c r="E28" s="2" t="s">
        <v>99</v>
      </c>
      <c r="F28" s="2"/>
      <c r="G28" s="2" t="s">
        <v>4</v>
      </c>
      <c r="H28" s="3">
        <v>1</v>
      </c>
      <c r="I28" s="3">
        <v>2093</v>
      </c>
      <c r="J28" s="6">
        <v>104.65</v>
      </c>
      <c r="K28" s="3">
        <v>0</v>
      </c>
      <c r="L28" s="2" t="s">
        <v>5</v>
      </c>
      <c r="M28" s="2" t="s">
        <v>103</v>
      </c>
      <c r="N28" s="2" t="s">
        <v>7</v>
      </c>
      <c r="O28" s="2" t="s">
        <v>8</v>
      </c>
      <c r="P28" s="2" t="s">
        <v>8</v>
      </c>
      <c r="Q28" s="2"/>
      <c r="R28" s="2"/>
      <c r="S28" s="2" t="s">
        <v>9</v>
      </c>
      <c r="T28" s="2" t="s">
        <v>10</v>
      </c>
      <c r="U28" s="3">
        <v>0</v>
      </c>
      <c r="V28" s="3">
        <v>0</v>
      </c>
      <c r="W28" s="2" t="s">
        <v>104</v>
      </c>
      <c r="X28" s="2" t="s">
        <v>105</v>
      </c>
      <c r="Y28" s="2" t="s">
        <v>40</v>
      </c>
      <c r="Z28" s="3">
        <v>1</v>
      </c>
      <c r="AA28" s="3">
        <v>0</v>
      </c>
      <c r="AB28" s="2" t="s">
        <v>41</v>
      </c>
      <c r="AC28" s="2"/>
      <c r="AD28" s="2" t="s">
        <v>106</v>
      </c>
      <c r="AE28" s="2"/>
      <c r="AF28" s="2"/>
      <c r="AG28" s="2"/>
      <c r="AH28" s="3">
        <v>2093</v>
      </c>
      <c r="AI28" s="3">
        <v>2093</v>
      </c>
      <c r="AJ28" s="2" t="s">
        <v>16</v>
      </c>
      <c r="AK28" s="2"/>
      <c r="AL28" s="2"/>
      <c r="AM28" s="2"/>
      <c r="AN28" s="3">
        <v>0</v>
      </c>
      <c r="AO28" s="2"/>
      <c r="AP28" s="3">
        <v>0</v>
      </c>
      <c r="AQ28" s="3">
        <v>0</v>
      </c>
      <c r="AR28" s="3">
        <v>0</v>
      </c>
      <c r="AS28" s="8">
        <v>1950</v>
      </c>
      <c r="AT28" s="5" t="str">
        <f>IF(表格1[[#This Row],[標準價 | Standard Price]]=表格1[[#This Row],[單價 | unit price]],"標準價","特殊價")</f>
        <v>特殊價</v>
      </c>
    </row>
    <row r="29" spans="1:46" ht="18.75">
      <c r="A29" s="2"/>
      <c r="B29" s="2" t="s">
        <v>126</v>
      </c>
      <c r="C29" s="2" t="s">
        <v>127</v>
      </c>
      <c r="D29" s="2" t="s">
        <v>128</v>
      </c>
      <c r="E29" s="2" t="s">
        <v>99</v>
      </c>
      <c r="F29" s="2"/>
      <c r="G29" s="2" t="s">
        <v>4</v>
      </c>
      <c r="H29" s="3">
        <v>1</v>
      </c>
      <c r="I29" s="3">
        <v>2855</v>
      </c>
      <c r="J29" s="6">
        <v>142.75</v>
      </c>
      <c r="K29" s="3">
        <v>0</v>
      </c>
      <c r="L29" s="2" t="s">
        <v>5</v>
      </c>
      <c r="M29" s="2" t="s">
        <v>103</v>
      </c>
      <c r="N29" s="2" t="s">
        <v>7</v>
      </c>
      <c r="O29" s="2" t="s">
        <v>8</v>
      </c>
      <c r="P29" s="2" t="s">
        <v>8</v>
      </c>
      <c r="Q29" s="2"/>
      <c r="R29" s="2"/>
      <c r="S29" s="2" t="s">
        <v>110</v>
      </c>
      <c r="T29" s="2" t="s">
        <v>111</v>
      </c>
      <c r="U29" s="3">
        <v>0</v>
      </c>
      <c r="V29" s="3">
        <v>0</v>
      </c>
      <c r="W29" s="2" t="s">
        <v>112</v>
      </c>
      <c r="X29" s="2" t="s">
        <v>113</v>
      </c>
      <c r="Y29" s="2" t="s">
        <v>62</v>
      </c>
      <c r="Z29" s="3">
        <v>1</v>
      </c>
      <c r="AA29" s="3">
        <v>0</v>
      </c>
      <c r="AB29" s="2" t="s">
        <v>33</v>
      </c>
      <c r="AC29" s="2"/>
      <c r="AD29" s="2" t="s">
        <v>17</v>
      </c>
      <c r="AE29" s="2"/>
      <c r="AF29" s="2"/>
      <c r="AG29" s="2"/>
      <c r="AH29" s="3">
        <v>480</v>
      </c>
      <c r="AI29" s="3">
        <v>480</v>
      </c>
      <c r="AJ29" s="2" t="s">
        <v>16</v>
      </c>
      <c r="AK29" s="2"/>
      <c r="AL29" s="2"/>
      <c r="AM29" s="2"/>
      <c r="AN29" s="3">
        <v>0</v>
      </c>
      <c r="AO29" s="2"/>
      <c r="AP29" s="3">
        <v>0</v>
      </c>
      <c r="AQ29" s="3">
        <v>0</v>
      </c>
      <c r="AR29" s="3">
        <v>0</v>
      </c>
      <c r="AS29" s="8">
        <v>480</v>
      </c>
      <c r="AT29" s="5" t="str">
        <f>IF(表格1[[#This Row],[標準價 | Standard Price]]=表格1[[#This Row],[單價 | unit price]],"標準價","特殊價")</f>
        <v>標準價</v>
      </c>
    </row>
    <row r="30" spans="1:46" ht="18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112</v>
      </c>
      <c r="X30" s="2" t="s">
        <v>113</v>
      </c>
      <c r="Y30" s="2" t="s">
        <v>62</v>
      </c>
      <c r="Z30" s="3">
        <v>5</v>
      </c>
      <c r="AA30" s="3">
        <v>0</v>
      </c>
      <c r="AB30" s="2" t="s">
        <v>33</v>
      </c>
      <c r="AC30" s="2"/>
      <c r="AD30" s="2" t="s">
        <v>17</v>
      </c>
      <c r="AE30" s="2"/>
      <c r="AF30" s="2"/>
      <c r="AG30" s="2"/>
      <c r="AH30" s="3">
        <v>475</v>
      </c>
      <c r="AI30" s="3">
        <v>475</v>
      </c>
      <c r="AJ30" s="2" t="s">
        <v>8</v>
      </c>
      <c r="AK30" s="2"/>
      <c r="AL30" s="2"/>
      <c r="AM30" s="2"/>
      <c r="AN30" s="3">
        <v>0</v>
      </c>
      <c r="AO30" s="2"/>
      <c r="AP30" s="3">
        <v>0</v>
      </c>
      <c r="AQ30" s="2"/>
      <c r="AR30" s="2"/>
      <c r="AS30" s="8">
        <v>480</v>
      </c>
      <c r="AT30" s="5" t="str">
        <f>IF(表格1[[#This Row],[標準價 | Standard Price]]=表格1[[#This Row],[單價 | unit price]],"標準價","特殊價")</f>
        <v>特殊價</v>
      </c>
    </row>
    <row r="31" spans="1:46" ht="18.75">
      <c r="A31" s="2"/>
      <c r="B31" s="2" t="s">
        <v>129</v>
      </c>
      <c r="C31" s="2" t="s">
        <v>130</v>
      </c>
      <c r="D31" s="2" t="s">
        <v>131</v>
      </c>
      <c r="E31" s="2" t="s">
        <v>99</v>
      </c>
      <c r="F31" s="2"/>
      <c r="G31" s="2" t="s">
        <v>4</v>
      </c>
      <c r="H31" s="3">
        <v>1</v>
      </c>
      <c r="I31" s="3">
        <v>2855</v>
      </c>
      <c r="J31" s="6">
        <v>142.75</v>
      </c>
      <c r="K31" s="3">
        <v>0</v>
      </c>
      <c r="L31" s="2" t="s">
        <v>5</v>
      </c>
      <c r="M31" s="2" t="s">
        <v>103</v>
      </c>
      <c r="N31" s="2" t="s">
        <v>7</v>
      </c>
      <c r="O31" s="2" t="s">
        <v>8</v>
      </c>
      <c r="P31" s="2" t="s">
        <v>8</v>
      </c>
      <c r="Q31" s="2"/>
      <c r="R31" s="2"/>
      <c r="S31" s="2" t="s">
        <v>110</v>
      </c>
      <c r="T31" s="2" t="s">
        <v>111</v>
      </c>
      <c r="U31" s="3">
        <v>0</v>
      </c>
      <c r="V31" s="3">
        <v>0</v>
      </c>
      <c r="W31" s="2" t="s">
        <v>112</v>
      </c>
      <c r="X31" s="2" t="s">
        <v>113</v>
      </c>
      <c r="Y31" s="2" t="s">
        <v>62</v>
      </c>
      <c r="Z31" s="3">
        <v>1</v>
      </c>
      <c r="AA31" s="3">
        <v>0</v>
      </c>
      <c r="AB31" s="2" t="s">
        <v>33</v>
      </c>
      <c r="AC31" s="2"/>
      <c r="AD31" s="2" t="s">
        <v>17</v>
      </c>
      <c r="AE31" s="2"/>
      <c r="AF31" s="2"/>
      <c r="AG31" s="2"/>
      <c r="AH31" s="3">
        <v>480</v>
      </c>
      <c r="AI31" s="3">
        <v>480</v>
      </c>
      <c r="AJ31" s="2" t="s">
        <v>16</v>
      </c>
      <c r="AK31" s="2"/>
      <c r="AL31" s="2"/>
      <c r="AM31" s="2"/>
      <c r="AN31" s="3">
        <v>0</v>
      </c>
      <c r="AO31" s="2"/>
      <c r="AP31" s="3">
        <v>0</v>
      </c>
      <c r="AQ31" s="3">
        <v>0</v>
      </c>
      <c r="AR31" s="3">
        <v>0</v>
      </c>
      <c r="AS31" s="8">
        <v>480</v>
      </c>
      <c r="AT31" s="5" t="str">
        <f>IF(表格1[[#This Row],[標準價 | Standard Price]]=表格1[[#This Row],[單價 | unit price]],"標準價","特殊價")</f>
        <v>標準價</v>
      </c>
    </row>
    <row r="32" spans="1:46" ht="18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112</v>
      </c>
      <c r="X32" s="2" t="s">
        <v>113</v>
      </c>
      <c r="Y32" s="2" t="s">
        <v>62</v>
      </c>
      <c r="Z32" s="3">
        <v>5</v>
      </c>
      <c r="AA32" s="3">
        <v>0</v>
      </c>
      <c r="AB32" s="2" t="s">
        <v>33</v>
      </c>
      <c r="AC32" s="2"/>
      <c r="AD32" s="2" t="s">
        <v>17</v>
      </c>
      <c r="AE32" s="2"/>
      <c r="AF32" s="2"/>
      <c r="AG32" s="2"/>
      <c r="AH32" s="3">
        <v>475</v>
      </c>
      <c r="AI32" s="3">
        <v>475</v>
      </c>
      <c r="AJ32" s="2" t="s">
        <v>8</v>
      </c>
      <c r="AK32" s="2"/>
      <c r="AL32" s="2"/>
      <c r="AM32" s="2"/>
      <c r="AN32" s="3">
        <v>0</v>
      </c>
      <c r="AO32" s="2"/>
      <c r="AP32" s="3">
        <v>0</v>
      </c>
      <c r="AQ32" s="2"/>
      <c r="AR32" s="2"/>
      <c r="AS32" s="8">
        <v>480</v>
      </c>
      <c r="AT32" s="5" t="str">
        <f>IF(表格1[[#This Row],[標準價 | Standard Price]]=表格1[[#This Row],[單價 | unit price]],"標準價","特殊價")</f>
        <v>特殊價</v>
      </c>
    </row>
    <row r="33" spans="1:46" ht="18.75">
      <c r="A33" s="2"/>
      <c r="B33" s="2" t="s">
        <v>132</v>
      </c>
      <c r="C33" s="2" t="s">
        <v>133</v>
      </c>
      <c r="D33" s="2" t="s">
        <v>134</v>
      </c>
      <c r="E33" s="2" t="s">
        <v>99</v>
      </c>
      <c r="F33" s="2"/>
      <c r="G33" s="2" t="s">
        <v>4</v>
      </c>
      <c r="H33" s="3">
        <v>1</v>
      </c>
      <c r="I33" s="3">
        <v>2855</v>
      </c>
      <c r="J33" s="6">
        <v>142.75</v>
      </c>
      <c r="K33" s="3">
        <v>0</v>
      </c>
      <c r="L33" s="2" t="s">
        <v>5</v>
      </c>
      <c r="M33" s="2" t="s">
        <v>103</v>
      </c>
      <c r="N33" s="2" t="s">
        <v>7</v>
      </c>
      <c r="O33" s="2" t="s">
        <v>8</v>
      </c>
      <c r="P33" s="2" t="s">
        <v>8</v>
      </c>
      <c r="Q33" s="2"/>
      <c r="R33" s="2"/>
      <c r="S33" s="2" t="s">
        <v>110</v>
      </c>
      <c r="T33" s="2" t="s">
        <v>111</v>
      </c>
      <c r="U33" s="3">
        <v>0</v>
      </c>
      <c r="V33" s="3">
        <v>0</v>
      </c>
      <c r="W33" s="2" t="s">
        <v>112</v>
      </c>
      <c r="X33" s="2" t="s">
        <v>113</v>
      </c>
      <c r="Y33" s="2" t="s">
        <v>62</v>
      </c>
      <c r="Z33" s="3">
        <v>1</v>
      </c>
      <c r="AA33" s="3">
        <v>0</v>
      </c>
      <c r="AB33" s="2" t="s">
        <v>33</v>
      </c>
      <c r="AC33" s="2"/>
      <c r="AD33" s="2" t="s">
        <v>17</v>
      </c>
      <c r="AE33" s="2"/>
      <c r="AF33" s="2"/>
      <c r="AG33" s="2"/>
      <c r="AH33" s="3">
        <v>480</v>
      </c>
      <c r="AI33" s="3">
        <v>480</v>
      </c>
      <c r="AJ33" s="2" t="s">
        <v>16</v>
      </c>
      <c r="AK33" s="2"/>
      <c r="AL33" s="2"/>
      <c r="AM33" s="2"/>
      <c r="AN33" s="3">
        <v>0</v>
      </c>
      <c r="AO33" s="2"/>
      <c r="AP33" s="3">
        <v>0</v>
      </c>
      <c r="AQ33" s="3">
        <v>0</v>
      </c>
      <c r="AR33" s="3">
        <v>0</v>
      </c>
      <c r="AS33" s="8">
        <v>480</v>
      </c>
      <c r="AT33" s="5" t="str">
        <f>IF(表格1[[#This Row],[標準價 | Standard Price]]=表格1[[#This Row],[單價 | unit price]],"標準價","特殊價")</f>
        <v>標準價</v>
      </c>
    </row>
    <row r="34" spans="1:46" ht="18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112</v>
      </c>
      <c r="X34" s="2" t="s">
        <v>113</v>
      </c>
      <c r="Y34" s="2" t="s">
        <v>62</v>
      </c>
      <c r="Z34" s="3">
        <v>5</v>
      </c>
      <c r="AA34" s="3">
        <v>0</v>
      </c>
      <c r="AB34" s="2" t="s">
        <v>33</v>
      </c>
      <c r="AC34" s="2"/>
      <c r="AD34" s="2" t="s">
        <v>17</v>
      </c>
      <c r="AE34" s="2"/>
      <c r="AF34" s="2"/>
      <c r="AG34" s="2"/>
      <c r="AH34" s="3">
        <v>475</v>
      </c>
      <c r="AI34" s="3">
        <v>475</v>
      </c>
      <c r="AJ34" s="2" t="s">
        <v>8</v>
      </c>
      <c r="AK34" s="2"/>
      <c r="AL34" s="2"/>
      <c r="AM34" s="2"/>
      <c r="AN34" s="3">
        <v>0</v>
      </c>
      <c r="AO34" s="2"/>
      <c r="AP34" s="3">
        <v>0</v>
      </c>
      <c r="AQ34" s="2"/>
      <c r="AR34" s="2"/>
      <c r="AS34" s="8">
        <v>480</v>
      </c>
      <c r="AT34" s="5" t="str">
        <f>IF(表格1[[#This Row],[標準價 | Standard Price]]=表格1[[#This Row],[單價 | unit price]],"標準價","特殊價")</f>
        <v>特殊價</v>
      </c>
    </row>
    <row r="35" spans="1:46" ht="18.75">
      <c r="A35" s="2"/>
      <c r="B35" s="2" t="s">
        <v>135</v>
      </c>
      <c r="C35" s="2" t="s">
        <v>136</v>
      </c>
      <c r="D35" s="2" t="s">
        <v>137</v>
      </c>
      <c r="E35" s="2" t="s">
        <v>99</v>
      </c>
      <c r="F35" s="2"/>
      <c r="G35" s="2" t="s">
        <v>4</v>
      </c>
      <c r="H35" s="3">
        <v>1</v>
      </c>
      <c r="I35" s="3">
        <v>2855</v>
      </c>
      <c r="J35" s="6">
        <v>142.75</v>
      </c>
      <c r="K35" s="3">
        <v>0</v>
      </c>
      <c r="L35" s="2" t="s">
        <v>5</v>
      </c>
      <c r="M35" s="2" t="s">
        <v>103</v>
      </c>
      <c r="N35" s="2" t="s">
        <v>7</v>
      </c>
      <c r="O35" s="2" t="s">
        <v>8</v>
      </c>
      <c r="P35" s="2" t="s">
        <v>8</v>
      </c>
      <c r="Q35" s="2"/>
      <c r="R35" s="2"/>
      <c r="S35" s="2" t="s">
        <v>110</v>
      </c>
      <c r="T35" s="2" t="s">
        <v>111</v>
      </c>
      <c r="U35" s="3">
        <v>0</v>
      </c>
      <c r="V35" s="3">
        <v>0</v>
      </c>
      <c r="W35" s="2" t="s">
        <v>112</v>
      </c>
      <c r="X35" s="2" t="s">
        <v>113</v>
      </c>
      <c r="Y35" s="2" t="s">
        <v>62</v>
      </c>
      <c r="Z35" s="3">
        <v>1</v>
      </c>
      <c r="AA35" s="3">
        <v>0</v>
      </c>
      <c r="AB35" s="2" t="s">
        <v>33</v>
      </c>
      <c r="AC35" s="2"/>
      <c r="AD35" s="2" t="s">
        <v>17</v>
      </c>
      <c r="AE35" s="2"/>
      <c r="AF35" s="2"/>
      <c r="AG35" s="2"/>
      <c r="AH35" s="3">
        <v>480</v>
      </c>
      <c r="AI35" s="3">
        <v>480</v>
      </c>
      <c r="AJ35" s="2" t="s">
        <v>16</v>
      </c>
      <c r="AK35" s="2"/>
      <c r="AL35" s="2"/>
      <c r="AM35" s="2"/>
      <c r="AN35" s="3">
        <v>0</v>
      </c>
      <c r="AO35" s="2"/>
      <c r="AP35" s="3">
        <v>0</v>
      </c>
      <c r="AQ35" s="3">
        <v>0</v>
      </c>
      <c r="AR35" s="3">
        <v>0</v>
      </c>
      <c r="AS35" s="8">
        <v>480</v>
      </c>
      <c r="AT35" s="5" t="str">
        <f>IF(表格1[[#This Row],[標準價 | Standard Price]]=表格1[[#This Row],[單價 | unit price]],"標準價","特殊價")</f>
        <v>標準價</v>
      </c>
    </row>
    <row r="36" spans="1:46" ht="18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112</v>
      </c>
      <c r="X36" s="2" t="s">
        <v>113</v>
      </c>
      <c r="Y36" s="2" t="s">
        <v>62</v>
      </c>
      <c r="Z36" s="3">
        <v>5</v>
      </c>
      <c r="AA36" s="3">
        <v>0</v>
      </c>
      <c r="AB36" s="2" t="s">
        <v>33</v>
      </c>
      <c r="AC36" s="2"/>
      <c r="AD36" s="2" t="s">
        <v>17</v>
      </c>
      <c r="AE36" s="2"/>
      <c r="AF36" s="2"/>
      <c r="AG36" s="2"/>
      <c r="AH36" s="3">
        <v>475</v>
      </c>
      <c r="AI36" s="3">
        <v>475</v>
      </c>
      <c r="AJ36" s="2" t="s">
        <v>8</v>
      </c>
      <c r="AK36" s="2"/>
      <c r="AL36" s="2"/>
      <c r="AM36" s="2"/>
      <c r="AN36" s="3">
        <v>0</v>
      </c>
      <c r="AO36" s="2"/>
      <c r="AP36" s="3">
        <v>0</v>
      </c>
      <c r="AQ36" s="2"/>
      <c r="AR36" s="2"/>
      <c r="AS36" s="8">
        <v>480</v>
      </c>
      <c r="AT36" s="5" t="str">
        <f>IF(表格1[[#This Row],[標準價 | Standard Price]]=表格1[[#This Row],[單價 | unit price]],"標準價","特殊價")</f>
        <v>特殊價</v>
      </c>
    </row>
  </sheetData>
  <conditionalFormatting sqref="AT1:AT36">
    <cfRule type="cellIs" dxfId="1" priority="1" operator="equal">
      <formula>"特殊價"</formula>
    </cfRule>
  </conditionalFormatting>
  <conditionalFormatting sqref="AT7">
    <cfRule type="containsText" dxfId="0" priority="2" operator="containsText" text="特殊價">
      <formula>NOT(ISERROR(SEARCH("特殊價",AT7)))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報價單匯出 Tier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</dc:creator>
  <cp:lastModifiedBy>Phát Vũ Hoàng</cp:lastModifiedBy>
  <dcterms:created xsi:type="dcterms:W3CDTF">2015-06-05T18:17:20Z</dcterms:created>
  <dcterms:modified xsi:type="dcterms:W3CDTF">2026-02-07T08:56:42Z</dcterms:modified>
</cp:coreProperties>
</file>