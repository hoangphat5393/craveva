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\new.craveva.com\"/>
    </mc:Choice>
  </mc:AlternateContent>
  <xr:revisionPtr revIDLastSave="0" documentId="13_ncr:1_{8B448813-1AC2-41D2-9BAD-B02DED7763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報價單匯出 Tier Pricing" sheetId="1" r:id="rId1"/>
    <sheet name="產品價格表 Standard Pricing" sheetId="2" r:id="rId2"/>
    <sheet name="產品庫存表 Invento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7" i="1" l="1"/>
  <c r="AT7" i="1" s="1"/>
  <c r="AS8" i="1"/>
  <c r="AT8" i="1" s="1"/>
  <c r="AS9" i="1"/>
  <c r="AT9" i="1" s="1"/>
  <c r="AS2" i="1"/>
  <c r="AT2" i="1" s="1"/>
  <c r="AS3" i="1"/>
  <c r="AT3" i="1" s="1"/>
  <c r="AS4" i="1"/>
  <c r="AT4" i="1" s="1"/>
  <c r="AS5" i="1"/>
  <c r="AT5" i="1" s="1"/>
  <c r="AS6" i="1"/>
  <c r="AT6" i="1" s="1"/>
  <c r="AS10" i="1"/>
  <c r="AT10" i="1" s="1"/>
  <c r="AS11" i="1"/>
  <c r="AT11" i="1" s="1"/>
  <c r="AS12" i="1"/>
  <c r="AT12" i="1" s="1"/>
  <c r="AS13" i="1"/>
  <c r="AT13" i="1" s="1"/>
  <c r="AS14" i="1"/>
  <c r="AT14" i="1" s="1"/>
  <c r="AS15" i="1"/>
  <c r="AT15" i="1" s="1"/>
  <c r="AS16" i="1"/>
  <c r="AT16" i="1" s="1"/>
  <c r="AS17" i="1"/>
  <c r="AT17" i="1" s="1"/>
  <c r="AS18" i="1"/>
  <c r="AT18" i="1" s="1"/>
  <c r="AS19" i="1"/>
  <c r="AT19" i="1" s="1"/>
  <c r="AS20" i="1"/>
  <c r="AT20" i="1" s="1"/>
  <c r="AS21" i="1"/>
  <c r="AT21" i="1" s="1"/>
  <c r="AS22" i="1"/>
  <c r="AT22" i="1" s="1"/>
  <c r="AS23" i="1"/>
  <c r="AT23" i="1" s="1"/>
  <c r="AS24" i="1"/>
  <c r="AT24" i="1" s="1"/>
  <c r="AS25" i="1"/>
  <c r="AT25" i="1" s="1"/>
  <c r="AS26" i="1"/>
  <c r="AT26" i="1" s="1"/>
  <c r="AS27" i="1"/>
  <c r="AT27" i="1" s="1"/>
  <c r="AS28" i="1"/>
  <c r="AT28" i="1" s="1"/>
  <c r="AS29" i="1"/>
  <c r="AT29" i="1" s="1"/>
  <c r="AS30" i="1"/>
  <c r="AT30" i="1" s="1"/>
  <c r="AS31" i="1"/>
  <c r="AT31" i="1" s="1"/>
  <c r="AS32" i="1"/>
  <c r="AT32" i="1" s="1"/>
  <c r="AS33" i="1"/>
  <c r="AT33" i="1" s="1"/>
  <c r="AS34" i="1"/>
  <c r="AT34" i="1" s="1"/>
  <c r="AS35" i="1"/>
  <c r="AT35" i="1" s="1"/>
  <c r="AS36" i="1"/>
  <c r="AT36" i="1" s="1"/>
</calcChain>
</file>

<file path=xl/sharedStrings.xml><?xml version="1.0" encoding="utf-8"?>
<sst xmlns="http://schemas.openxmlformats.org/spreadsheetml/2006/main" count="4040" uniqueCount="1179">
  <si>
    <t>客戶全名</t>
  </si>
  <si>
    <t>幣別</t>
  </si>
  <si>
    <t>課稅別</t>
  </si>
  <si>
    <t>確認</t>
  </si>
  <si>
    <t>客戶確認</t>
  </si>
  <si>
    <t>價格條件</t>
  </si>
  <si>
    <t>材積單位</t>
  </si>
  <si>
    <t>付款條件代號</t>
  </si>
  <si>
    <t>付款條件名稱</t>
  </si>
  <si>
    <t>總毛重(Kg)</t>
  </si>
  <si>
    <t>總材積</t>
  </si>
  <si>
    <t>數量</t>
  </si>
  <si>
    <t>贈品量</t>
  </si>
  <si>
    <t>單位</t>
  </si>
  <si>
    <t>小單位</t>
  </si>
  <si>
    <t>生效日期</t>
  </si>
  <si>
    <t>失效日期</t>
  </si>
  <si>
    <t>允收效期</t>
  </si>
  <si>
    <t>天(月)</t>
  </si>
  <si>
    <t>單價</t>
  </si>
  <si>
    <t>金額</t>
  </si>
  <si>
    <t>分量計價</t>
  </si>
  <si>
    <t>付款條件_0LD</t>
  </si>
  <si>
    <t>包裝方式</t>
  </si>
  <si>
    <t>包裝名稱</t>
  </si>
  <si>
    <t>毛重(Kg)</t>
  </si>
  <si>
    <t>品號稅別</t>
  </si>
  <si>
    <t>材積</t>
  </si>
  <si>
    <t>應稅品未稅金額</t>
  </si>
  <si>
    <t>免稅品金額</t>
  </si>
  <si>
    <t>114/12/01</t>
  </si>
  <si>
    <t>2122-1141202002</t>
  </si>
  <si>
    <t>B6175</t>
  </si>
  <si>
    <t>山摺山甜點坊</t>
  </si>
  <si>
    <t>NTD</t>
  </si>
  <si>
    <t>訂貨起日內</t>
  </si>
  <si>
    <t>陳柏皓</t>
  </si>
  <si>
    <t>應稅外加</t>
  </si>
  <si>
    <t>Y</t>
  </si>
  <si>
    <t>30D</t>
  </si>
  <si>
    <t>月結30天</t>
  </si>
  <si>
    <t>B0199009</t>
  </si>
  <si>
    <t>法國蒙太古Montaigu發酵奶油片2KG</t>
  </si>
  <si>
    <t>2KG/5片/箱  成箱出貨不可零售</t>
  </si>
  <si>
    <t>片</t>
  </si>
  <si>
    <t>115/01/01</t>
  </si>
  <si>
    <t>N</t>
  </si>
  <si>
    <t>114/12/02</t>
  </si>
  <si>
    <t>2122-1141202001</t>
  </si>
  <si>
    <t>N1238</t>
  </si>
  <si>
    <t>大江生醫</t>
  </si>
  <si>
    <t>廖玉媗</t>
  </si>
  <si>
    <t>I0404043</t>
  </si>
  <si>
    <t>SICOLY紅桃果泥(無加糖)1KG</t>
  </si>
  <si>
    <t>1KG/6盒/箱</t>
  </si>
  <si>
    <t>盒</t>
  </si>
  <si>
    <t>2122-1141202003</t>
  </si>
  <si>
    <t>K1299</t>
  </si>
  <si>
    <t>歐樂沃築夢城堡//隨貨附發票</t>
  </si>
  <si>
    <t>林文哲</t>
  </si>
  <si>
    <t>F0101037</t>
  </si>
  <si>
    <t>L'Opera薩瑪娜70%(鈕扣)產地巧克力5K</t>
  </si>
  <si>
    <t>5KG/4包/箱</t>
  </si>
  <si>
    <t>KG</t>
  </si>
  <si>
    <t>2122-1141202005</t>
  </si>
  <si>
    <t>C2128</t>
  </si>
  <si>
    <t>路易莎職人咖啡-「烘焙一廠」甜點</t>
  </si>
  <si>
    <t>郭家妤</t>
  </si>
  <si>
    <t>A0101007</t>
  </si>
  <si>
    <t>日清紫蘿蘭薄力粉25K</t>
  </si>
  <si>
    <t>25KG/包</t>
  </si>
  <si>
    <t>包</t>
  </si>
  <si>
    <t>2122-1141202006</t>
  </si>
  <si>
    <t>C3088</t>
  </si>
  <si>
    <t>亞詮-新店點心工廠</t>
  </si>
  <si>
    <t>陳盈穎</t>
  </si>
  <si>
    <t>45D</t>
  </si>
  <si>
    <t>月結45天</t>
  </si>
  <si>
    <t>D0199028</t>
  </si>
  <si>
    <t>東洋精糖T1上白糖30KG</t>
  </si>
  <si>
    <t>30KG/包</t>
  </si>
  <si>
    <t>D0101009</t>
  </si>
  <si>
    <t>三井製糖上白糖</t>
  </si>
  <si>
    <t>1KG/10包/箱</t>
  </si>
  <si>
    <t>D0101014</t>
  </si>
  <si>
    <t>日本三井上白糖30KG</t>
  </si>
  <si>
    <t>2122-1141202015</t>
  </si>
  <si>
    <t>B5110</t>
  </si>
  <si>
    <t>Curious         小小樹食</t>
  </si>
  <si>
    <t>陳采立</t>
  </si>
  <si>
    <t>H0101024</t>
  </si>
  <si>
    <t>加州卡美特級杏仁粒1KG</t>
  </si>
  <si>
    <t>1KG</t>
  </si>
  <si>
    <t>2122-1141202016</t>
  </si>
  <si>
    <t>B4055</t>
  </si>
  <si>
    <t>小小樹食餐廳</t>
  </si>
  <si>
    <t>2122-1141202017</t>
  </si>
  <si>
    <t>B4763</t>
  </si>
  <si>
    <t>小小樹食餐廳-敦南店</t>
  </si>
  <si>
    <t>2122-1141202018</t>
  </si>
  <si>
    <t>B6233</t>
  </si>
  <si>
    <t>小小樹食0KM</t>
  </si>
  <si>
    <t>2122-1141202019</t>
  </si>
  <si>
    <t>B6294</t>
  </si>
  <si>
    <t>小小樹食微風南山店</t>
  </si>
  <si>
    <t>2122-1141202020</t>
  </si>
  <si>
    <t>G2033</t>
  </si>
  <si>
    <t>小小樹食勤美術館店</t>
  </si>
  <si>
    <t>2122-1141202021</t>
  </si>
  <si>
    <t>B6508</t>
  </si>
  <si>
    <t>小小樹食忠泰店</t>
  </si>
  <si>
    <t>2122-1141202022</t>
  </si>
  <si>
    <t>B6609</t>
  </si>
  <si>
    <t>小小樹食-新光店</t>
  </si>
  <si>
    <t>2122-1141202023</t>
  </si>
  <si>
    <t>B6615</t>
  </si>
  <si>
    <t>小小樹食大安店</t>
  </si>
  <si>
    <t>2122-1141202024</t>
  </si>
  <si>
    <t>C2672</t>
  </si>
  <si>
    <t>路易莎職人咖啡-【麵包一廠】</t>
  </si>
  <si>
    <t>2122-1141202027</t>
  </si>
  <si>
    <t>M1170</t>
  </si>
  <si>
    <t>吳寶春高雄(產品皆須有標示)</t>
  </si>
  <si>
    <t>60D</t>
  </si>
  <si>
    <t>月結60天</t>
  </si>
  <si>
    <t>I0599009</t>
  </si>
  <si>
    <t>Lubeca德國杏仁膏(箱)</t>
  </si>
  <si>
    <t>12.5KG/箱</t>
  </si>
  <si>
    <t>箱</t>
  </si>
  <si>
    <t>114/12/31</t>
  </si>
  <si>
    <t>2122-1141202004</t>
  </si>
  <si>
    <t>B5779</t>
  </si>
  <si>
    <t>丸龜製麵(總公司)</t>
  </si>
  <si>
    <t>深川真紀</t>
  </si>
  <si>
    <t>A0101037</t>
  </si>
  <si>
    <t>日清特NO.1 25K</t>
  </si>
  <si>
    <t>115/03/01</t>
  </si>
  <si>
    <t>2122-1141202008</t>
  </si>
  <si>
    <t>D2293</t>
  </si>
  <si>
    <t>馬祖新村</t>
  </si>
  <si>
    <t>Cash</t>
  </si>
  <si>
    <t>貨到收款</t>
  </si>
  <si>
    <t>H0101013</t>
  </si>
  <si>
    <t>藍鑽BD杏仁角1KG</t>
  </si>
  <si>
    <t>2122-1141202009</t>
  </si>
  <si>
    <t>B3857</t>
  </si>
  <si>
    <t>丸龜製麵(新光</t>
  </si>
  <si>
    <t>2122-1141202010</t>
  </si>
  <si>
    <t>B5944</t>
  </si>
  <si>
    <t>長田本庄軒A11          丸龜</t>
  </si>
  <si>
    <t>2122-1141202011</t>
  </si>
  <si>
    <t>B6295</t>
  </si>
  <si>
    <t>長田本庄軒天母店    丸龜</t>
  </si>
  <si>
    <t>2122-1141202012</t>
  </si>
  <si>
    <t>B6336</t>
  </si>
  <si>
    <t>長田本庄軒-南西店     丸龜</t>
  </si>
  <si>
    <t>2122-1141202013</t>
  </si>
  <si>
    <t>E2063</t>
  </si>
  <si>
    <t>馬祖新村 -SOGO巨城店</t>
  </si>
  <si>
    <t>2122-1141202014</t>
  </si>
  <si>
    <t>D2312</t>
  </si>
  <si>
    <t>馬祖新村 -華泰Outlet店</t>
  </si>
  <si>
    <t>2122-1141202025</t>
  </si>
  <si>
    <t>D2317</t>
  </si>
  <si>
    <t>馬祖新村 -中壢大江店</t>
  </si>
  <si>
    <t>2122-1141202026</t>
  </si>
  <si>
    <t>D2318</t>
  </si>
  <si>
    <t>馬祖新村 -中壢SOGO店</t>
  </si>
  <si>
    <t>&lt;結  束&gt;</t>
  </si>
  <si>
    <t>備貨型態</t>
  </si>
  <si>
    <t>標準售價</t>
  </si>
  <si>
    <t>中盤價</t>
  </si>
  <si>
    <t>成箱價</t>
  </si>
  <si>
    <t>員工價</t>
  </si>
  <si>
    <t>9901072</t>
  </si>
  <si>
    <t>NORDIA小瓷偶/普羅旺斯-品號重複(停用)</t>
  </si>
  <si>
    <t>停售</t>
  </si>
  <si>
    <t>A0101001</t>
  </si>
  <si>
    <t>日清山茶花強力粉25K</t>
  </si>
  <si>
    <t>常備</t>
  </si>
  <si>
    <t>A0101002</t>
  </si>
  <si>
    <t>日清山茶花強力粉1K</t>
  </si>
  <si>
    <t>A0101003</t>
  </si>
  <si>
    <t>日清百合花法國粉25K</t>
  </si>
  <si>
    <t>A0101004</t>
  </si>
  <si>
    <t>日清百合花法國粉1K</t>
  </si>
  <si>
    <t>A0101005</t>
  </si>
  <si>
    <t>日清山茶花(特)強力粉25K</t>
  </si>
  <si>
    <t>A0101006</t>
  </si>
  <si>
    <t>日清山茶花(特)強力粉1K</t>
  </si>
  <si>
    <t>A0101008</t>
  </si>
  <si>
    <t>日清紫蘿蘭薄力粉1K</t>
  </si>
  <si>
    <t>A0101009</t>
  </si>
  <si>
    <t>日清紫蘿蘭(特)薄力粉25K</t>
  </si>
  <si>
    <t>A0101010</t>
  </si>
  <si>
    <t>日清紫蘿蘭(特)薄力粉1K</t>
  </si>
  <si>
    <t>A0101011</t>
  </si>
  <si>
    <t>日清SK特高筋粉25K</t>
  </si>
  <si>
    <t>A0101012</t>
  </si>
  <si>
    <t>日清SK特高筋粉1K</t>
  </si>
  <si>
    <t>A0101013</t>
  </si>
  <si>
    <t>日清傳奇強力粉25K</t>
  </si>
  <si>
    <t>A0101014</t>
  </si>
  <si>
    <t>日清傳奇強力粉1K</t>
  </si>
  <si>
    <t>A0101015</t>
  </si>
  <si>
    <t>日清PUR法國小麥法國粉25K</t>
  </si>
  <si>
    <t>客訂</t>
  </si>
  <si>
    <t>A0101016</t>
  </si>
  <si>
    <t>日清PUR法國小麥法國粉1K</t>
  </si>
  <si>
    <t>A0101017</t>
  </si>
  <si>
    <t>日清裸麥細挽全粒粉20K</t>
  </si>
  <si>
    <t>A0101018</t>
  </si>
  <si>
    <t>日清裸麥細挽全粒粉1K</t>
  </si>
  <si>
    <t>A0101019</t>
  </si>
  <si>
    <t>日清裸麥中挽全粒粉20K</t>
  </si>
  <si>
    <t>A0101020</t>
  </si>
  <si>
    <t>日清裸麥中挽全粒粉1K</t>
  </si>
  <si>
    <t>A0101021</t>
  </si>
  <si>
    <t>日清裸麥粗挽全粒粉20K</t>
  </si>
  <si>
    <t>A0101022</t>
  </si>
  <si>
    <t>日清裸麥粗挽全粒粉1K</t>
  </si>
  <si>
    <t>A0101023</t>
  </si>
  <si>
    <t>日清全麥粗粉25K</t>
  </si>
  <si>
    <t>A0101024</t>
  </si>
  <si>
    <t>日清全麥粗粉1K</t>
  </si>
  <si>
    <t>A0101025</t>
  </si>
  <si>
    <t>日清純裸麥粉20K</t>
  </si>
  <si>
    <t>A0101026</t>
  </si>
  <si>
    <t>日清純裸麥粉1K-停用</t>
  </si>
  <si>
    <t>A0101027</t>
  </si>
  <si>
    <t>日清全麥細粉25K</t>
  </si>
  <si>
    <t>A0101028</t>
  </si>
  <si>
    <t>日清全麥細粉1K</t>
  </si>
  <si>
    <t>A0101029</t>
  </si>
  <si>
    <t>日清超級全麥高筋粉25K</t>
  </si>
  <si>
    <t>A0101030</t>
  </si>
  <si>
    <t>日清超級全麥高筋粉1K</t>
  </si>
  <si>
    <t>A0101031</t>
  </si>
  <si>
    <t>日清超級全麥低筋粉25K</t>
  </si>
  <si>
    <t>A0101032</t>
  </si>
  <si>
    <t>日清超級全麥低筋粉1K</t>
  </si>
  <si>
    <t>分裝</t>
  </si>
  <si>
    <t>A0101033</t>
  </si>
  <si>
    <t>日清MK專用粉25K</t>
  </si>
  <si>
    <t>A0101034</t>
  </si>
  <si>
    <t>日清MK專用粉1K</t>
  </si>
  <si>
    <t>A0101035</t>
  </si>
  <si>
    <t>日清杜蘭小麥麵粉25K</t>
  </si>
  <si>
    <t>A0101036</t>
  </si>
  <si>
    <t>日清杜蘭小麥麵粉1K</t>
  </si>
  <si>
    <t>A0101038</t>
  </si>
  <si>
    <t>日清特NO.1 1K</t>
  </si>
  <si>
    <t>A0101039</t>
  </si>
  <si>
    <t>日清全粒粉D 25K</t>
  </si>
  <si>
    <t>A0101040</t>
  </si>
  <si>
    <t>日清全粒粉D 1K</t>
  </si>
  <si>
    <t>A0101041</t>
  </si>
  <si>
    <t>日清海洋強力粉25K</t>
  </si>
  <si>
    <t>A0101042</t>
  </si>
  <si>
    <t>日清海洋強力粉1K</t>
  </si>
  <si>
    <t>A0101043</t>
  </si>
  <si>
    <t>日清荒武者 25K</t>
  </si>
  <si>
    <t>A0101044</t>
  </si>
  <si>
    <t>日清荒武者 1K</t>
  </si>
  <si>
    <t>A0101045</t>
  </si>
  <si>
    <t>日清傾奇者 25K</t>
  </si>
  <si>
    <t>A0101046</t>
  </si>
  <si>
    <t>日清傾奇者 1K</t>
  </si>
  <si>
    <t>A0101047</t>
  </si>
  <si>
    <t>日清芳醇強力粉25K</t>
  </si>
  <si>
    <t>A0101048</t>
  </si>
  <si>
    <t>日清芳醇強力粉1K</t>
  </si>
  <si>
    <t>A0101049</t>
  </si>
  <si>
    <t>日清雪藏強力粉25K</t>
  </si>
  <si>
    <t>A0101050</t>
  </si>
  <si>
    <t>日清雪藏強力粉1K</t>
  </si>
  <si>
    <t>A0101051</t>
  </si>
  <si>
    <t>日清真麵許皆傳25K</t>
  </si>
  <si>
    <t>A0101052</t>
  </si>
  <si>
    <t>日清真麵許皆傳1K</t>
  </si>
  <si>
    <t>A0101053</t>
  </si>
  <si>
    <t>日清夢飛龍25K</t>
  </si>
  <si>
    <t>A0101054</t>
  </si>
  <si>
    <t>日清特飛龍1K</t>
  </si>
  <si>
    <t>A0101055</t>
  </si>
  <si>
    <t>日清手打讚歌25K</t>
  </si>
  <si>
    <t>A0101056</t>
  </si>
  <si>
    <t>日清手打讚歌1K</t>
  </si>
  <si>
    <t>A0101057</t>
  </si>
  <si>
    <t>日清百萬強力粉25K</t>
  </si>
  <si>
    <t>A0101058</t>
  </si>
  <si>
    <t>日清百萬強力粉1K</t>
  </si>
  <si>
    <t>A0101059</t>
  </si>
  <si>
    <t>日清十億強力粉25K</t>
  </si>
  <si>
    <t>A0101060</t>
  </si>
  <si>
    <t>日清十億強力粉1K</t>
  </si>
  <si>
    <t>A0101061</t>
  </si>
  <si>
    <t>日清拿坡里披薩專用粉25K</t>
  </si>
  <si>
    <t>A0101062</t>
  </si>
  <si>
    <t>日清拿坡里披薩專用粉1K</t>
  </si>
  <si>
    <t>A0101063</t>
  </si>
  <si>
    <t>日清裸麥細挽全粒粉5K</t>
  </si>
  <si>
    <t>A0101064</t>
  </si>
  <si>
    <t>日清純裸麥粉5K</t>
  </si>
  <si>
    <t>A0101065</t>
  </si>
  <si>
    <t>日清純裸麥粉1K</t>
  </si>
  <si>
    <t>A0101066</t>
  </si>
  <si>
    <t>日清天使薄力粉25K</t>
  </si>
  <si>
    <t>A0101067</t>
  </si>
  <si>
    <t>日清天使薄力粉1K</t>
  </si>
  <si>
    <t>A0101068</t>
  </si>
  <si>
    <t>日清生義大利麵粉25K</t>
  </si>
  <si>
    <t>A0101069</t>
  </si>
  <si>
    <t>日清生義大利麵粉1K</t>
  </si>
  <si>
    <t>A0101070</t>
  </si>
  <si>
    <t>日清豐韻強力粉25K</t>
  </si>
  <si>
    <t>A0101071</t>
  </si>
  <si>
    <t>日清豐韻強力粉1K</t>
  </si>
  <si>
    <t>A0101072</t>
  </si>
  <si>
    <t>日清特飛龍25K</t>
  </si>
  <si>
    <t>A0101082</t>
  </si>
  <si>
    <t>日清阿爾法Z美味+小麥粉</t>
  </si>
  <si>
    <t>A0101084</t>
  </si>
  <si>
    <t>日清春韻強力粉（原KZ-2）</t>
  </si>
  <si>
    <t>A0101085</t>
  </si>
  <si>
    <t>日清麵無双高筋粉(小麥粉)</t>
  </si>
  <si>
    <t>A0101087</t>
  </si>
  <si>
    <t>日清野趣小麥粉</t>
  </si>
  <si>
    <t>A0101088</t>
  </si>
  <si>
    <t>日清金織強力粉</t>
  </si>
  <si>
    <t>A0102001</t>
  </si>
  <si>
    <t>昭和CDC法國麵包專用粉25K</t>
  </si>
  <si>
    <t>A0102003</t>
  </si>
  <si>
    <t>昭和先鋒特高筋粉25K</t>
  </si>
  <si>
    <t>A0102005</t>
  </si>
  <si>
    <t>昭和高級蛋糕粉25K</t>
  </si>
  <si>
    <t>A0102006</t>
  </si>
  <si>
    <t>昭和高級蛋糕粉1K</t>
  </si>
  <si>
    <t>A0102007</t>
  </si>
  <si>
    <t>昭和埃及艷后蛋糕粉25K</t>
  </si>
  <si>
    <t>A0102008</t>
  </si>
  <si>
    <t>昭和埃及艷后蛋糕粉1K</t>
  </si>
  <si>
    <t>A0102009</t>
  </si>
  <si>
    <t>昭和霓虹土司專用粉25K</t>
  </si>
  <si>
    <t>A0102010</t>
  </si>
  <si>
    <t>昭和霓虹土司專用粉1K</t>
  </si>
  <si>
    <t>A0102011</t>
  </si>
  <si>
    <t>昭和特級霓虹25K</t>
  </si>
  <si>
    <t>A0102012</t>
  </si>
  <si>
    <t>昭和特級霓虹1K</t>
  </si>
  <si>
    <t>A0102013</t>
  </si>
  <si>
    <t>昭和月桂冠蛋糕粉25K</t>
  </si>
  <si>
    <t>A0102014</t>
  </si>
  <si>
    <t>昭和月桂冠蛋糕粉1K</t>
  </si>
  <si>
    <t>A0102015</t>
  </si>
  <si>
    <t>昭和白蓮日本麵用粉25K</t>
  </si>
  <si>
    <t>A0102016</t>
  </si>
  <si>
    <t>昭和白蓮日本麵用粉1K</t>
  </si>
  <si>
    <t>A0102017</t>
  </si>
  <si>
    <t>昭和金蘭中華麵用粉25K</t>
  </si>
  <si>
    <t>A0102018</t>
  </si>
  <si>
    <t>昭和金蘭中華麵用粉1K</t>
  </si>
  <si>
    <t>A0102019</t>
  </si>
  <si>
    <t>昭和天皇星甜麵包專用25K</t>
  </si>
  <si>
    <t>A0102020</t>
  </si>
  <si>
    <t>昭和天皇星甜麵包專用1K</t>
  </si>
  <si>
    <t>A0102021</t>
  </si>
  <si>
    <t>昭和歐式麵包專用粉Premium F25K</t>
  </si>
  <si>
    <t>A0102022</t>
  </si>
  <si>
    <t>昭和歐式麵包專用粉Premium F1K</t>
  </si>
  <si>
    <t>A0102023</t>
  </si>
  <si>
    <t>昭和赤霓虹25K</t>
  </si>
  <si>
    <t>A0102024</t>
  </si>
  <si>
    <t>昭和赤霓虹1K</t>
  </si>
  <si>
    <t>A0102025</t>
  </si>
  <si>
    <t>昭和北海道100麵粉25K</t>
  </si>
  <si>
    <t>A0102026</t>
  </si>
  <si>
    <t>昭和北海道100麵粉1K</t>
  </si>
  <si>
    <t>A0102027</t>
  </si>
  <si>
    <t>昭和加拿大小麥高筋粉25K</t>
  </si>
  <si>
    <t>A0102028</t>
  </si>
  <si>
    <t>昭和加拿大小麥高筋粉1K</t>
  </si>
  <si>
    <t>A0102029</t>
  </si>
  <si>
    <t>昭和製麵用手打粉303-停止進貨停用</t>
  </si>
  <si>
    <t>A0102030</t>
  </si>
  <si>
    <t>A0102031</t>
  </si>
  <si>
    <t>A0102032</t>
  </si>
  <si>
    <t>昭和製麵用手打粉202 25K</t>
  </si>
  <si>
    <t>A0102033</t>
  </si>
  <si>
    <t>昭和製麵用手打粉202 10K-無此規格停用</t>
  </si>
  <si>
    <t>A0102034</t>
  </si>
  <si>
    <t>昭和製麵用手打粉202 1K</t>
  </si>
  <si>
    <t>A0102035</t>
  </si>
  <si>
    <t>昭和翔中華麵用粉25K</t>
  </si>
  <si>
    <t>A0102036</t>
  </si>
  <si>
    <t>昭和翔中華麵用粉1K</t>
  </si>
  <si>
    <t>A0102037</t>
  </si>
  <si>
    <t>昭和麵太鼓日本麵用粉25K</t>
  </si>
  <si>
    <t>A0102038</t>
  </si>
  <si>
    <t>昭和麵太鼓日本麵用粉1K</t>
  </si>
  <si>
    <t>A0102039</t>
  </si>
  <si>
    <t>昭和星空25K</t>
  </si>
  <si>
    <t>A0102040</t>
  </si>
  <si>
    <t>昭和星空1K</t>
  </si>
  <si>
    <t>A0102041</t>
  </si>
  <si>
    <t>昭和Bruciare熱力小麥粉25K</t>
  </si>
  <si>
    <t>A0102042</t>
  </si>
  <si>
    <t>昭和Bruciare熱力小麥粉1K</t>
  </si>
  <si>
    <t>A0102043</t>
  </si>
  <si>
    <t>昭和C Blanc菓子用小麥粉25K</t>
  </si>
  <si>
    <t>A0102044</t>
  </si>
  <si>
    <t>昭和C Blanc菓子用小麥粉1K</t>
  </si>
  <si>
    <t>A0102045</t>
  </si>
  <si>
    <t>昭和Kainos(高筋)25K</t>
  </si>
  <si>
    <t>A0102046</t>
  </si>
  <si>
    <t>昭和小麥熟麩皮Roast Fine Bran10K</t>
  </si>
  <si>
    <t>A0102047</t>
  </si>
  <si>
    <t>昭和小麥熟麩皮Roast Fine Bran1K</t>
  </si>
  <si>
    <t>A0102048</t>
  </si>
  <si>
    <t>昭和and J 25KG</t>
  </si>
  <si>
    <t>A0103001</t>
  </si>
  <si>
    <t>木田製粉北海道夢之力25K</t>
  </si>
  <si>
    <t>A0103002</t>
  </si>
  <si>
    <t>木田製粉北海道夢之力 1K</t>
  </si>
  <si>
    <t>A0103003</t>
  </si>
  <si>
    <t>木田製粉Nouvelle Vague 25K</t>
  </si>
  <si>
    <t>A0103004</t>
  </si>
  <si>
    <t>木田製粉Nouvelle Vague 1K</t>
  </si>
  <si>
    <t>A0103005</t>
  </si>
  <si>
    <t>木田製粉穗香法國麵包專用粉25K</t>
  </si>
  <si>
    <t>A0103006</t>
  </si>
  <si>
    <t>木田製粉穗香法國麵包專用粉1K</t>
  </si>
  <si>
    <t>A0104001</t>
  </si>
  <si>
    <t>木下製粉讚岐一番粉25K</t>
  </si>
  <si>
    <t>A0104002</t>
  </si>
  <si>
    <t>木下製粉讚岐一番粉1K</t>
  </si>
  <si>
    <t>A0104003</t>
  </si>
  <si>
    <t>木下製粉夢2000 25K</t>
  </si>
  <si>
    <t>A0104004</t>
  </si>
  <si>
    <t>木下製粉夢2000 1K</t>
  </si>
  <si>
    <t>A0104005</t>
  </si>
  <si>
    <t>木下製粉夢2000A 25K</t>
  </si>
  <si>
    <t>A0104006</t>
  </si>
  <si>
    <t>木下製粉夢2000A 1K</t>
  </si>
  <si>
    <t>A0104007</t>
  </si>
  <si>
    <t>木田製粉穗香法國麵包專用粉25K(品號重覆待刪除)</t>
  </si>
  <si>
    <t>A0104008</t>
  </si>
  <si>
    <t>木田製粉夢之力元氣25K</t>
  </si>
  <si>
    <t>A0104009</t>
  </si>
  <si>
    <t>木田製粉夢之力元氣1K</t>
  </si>
  <si>
    <t>A0104010</t>
  </si>
  <si>
    <t>木田製粉夢銀樹25K</t>
  </si>
  <si>
    <t>A0104011</t>
  </si>
  <si>
    <t>木田製粉夢銀樹1K</t>
  </si>
  <si>
    <t>A0104012</t>
  </si>
  <si>
    <t>木田製粉Neige(低筋)25K</t>
  </si>
  <si>
    <t>A0104013</t>
  </si>
  <si>
    <t>木下製粉Olive烏龍麵用粉25K</t>
  </si>
  <si>
    <t>A0105001</t>
  </si>
  <si>
    <t>大陽製粉石磨小麥粉10K</t>
  </si>
  <si>
    <t>A0105002</t>
  </si>
  <si>
    <t>大陽製粉石磨小麥粉1KG</t>
  </si>
  <si>
    <t>A0105003</t>
  </si>
  <si>
    <t>大陽製粉博肯石臼裸麥全粒粉10KG</t>
  </si>
  <si>
    <t>A0105004</t>
  </si>
  <si>
    <t>大陽製粉史瓦茲裸麥粉1KG</t>
  </si>
  <si>
    <t>A0105005</t>
  </si>
  <si>
    <t>大陽製粉博肯石臼裸麥全粒粉1KG</t>
  </si>
  <si>
    <t>A0105006</t>
  </si>
  <si>
    <t>大陽製粉DNS全粒粉10KG</t>
  </si>
  <si>
    <t>A0105007</t>
  </si>
  <si>
    <t>大陽製粉DNS全粒粉1KG</t>
  </si>
  <si>
    <t>A0105008</t>
  </si>
  <si>
    <t>大陽製粉麥嵐綺法國粉25KG</t>
  </si>
  <si>
    <t>A0105009</t>
  </si>
  <si>
    <t>大陽製粉麥嵐綺法國粉1KG</t>
  </si>
  <si>
    <t>A0105010</t>
  </si>
  <si>
    <t>大陽製粉麥嵐綺特高筋粉25KG</t>
  </si>
  <si>
    <t>A0105011</t>
  </si>
  <si>
    <t>大陽製粉麥嵐綺特高筋粉1KG</t>
  </si>
  <si>
    <t>A0105012</t>
  </si>
  <si>
    <t>大陽製粉麵包職人25KG</t>
  </si>
  <si>
    <t>A0105013</t>
  </si>
  <si>
    <t>大陽製粉麵包職人1KG</t>
  </si>
  <si>
    <t>A0105014</t>
  </si>
  <si>
    <t>大陽製粉萊茵河25KG</t>
  </si>
  <si>
    <t>A0105015</t>
  </si>
  <si>
    <t>大陽製粉萊茵河1KG</t>
  </si>
  <si>
    <t>A0105016</t>
  </si>
  <si>
    <t>大陽製粉金龍25KG</t>
  </si>
  <si>
    <t>A0105017</t>
  </si>
  <si>
    <t>大陽製粉金龍1KG</t>
  </si>
  <si>
    <t>A0105018</t>
  </si>
  <si>
    <t>大陽製粉中華25KG</t>
  </si>
  <si>
    <t>A0105019</t>
  </si>
  <si>
    <t>大陽製粉中華1KG</t>
  </si>
  <si>
    <t>A0105020</t>
  </si>
  <si>
    <t>大陽製粉麵金25KG</t>
  </si>
  <si>
    <t>A0105021</t>
  </si>
  <si>
    <t>大陽製粉麵金1KG</t>
  </si>
  <si>
    <t>A0106001</t>
  </si>
  <si>
    <t>增田製粉特寶笠薄力粉25K</t>
  </si>
  <si>
    <t>A0106002</t>
  </si>
  <si>
    <t>增田製粉特寶笠薄力粉1K</t>
  </si>
  <si>
    <t>A0107001</t>
  </si>
  <si>
    <t>統一高筋1號22KG</t>
  </si>
  <si>
    <t>A0107002</t>
  </si>
  <si>
    <t>統一高筋1號1斤</t>
  </si>
  <si>
    <t>A0107003</t>
  </si>
  <si>
    <t>統一中筋2號22KG</t>
  </si>
  <si>
    <t>A0107004</t>
  </si>
  <si>
    <t>統一中筋2號1斤(停用)</t>
  </si>
  <si>
    <t>A0107005</t>
  </si>
  <si>
    <t>統一中筋1號22KG</t>
  </si>
  <si>
    <t>A0107006</t>
  </si>
  <si>
    <t>統一中筋1號1斤</t>
  </si>
  <si>
    <t>A0107007</t>
  </si>
  <si>
    <t>統一低筋1號22KG(停售)</t>
  </si>
  <si>
    <t>A0107008</t>
  </si>
  <si>
    <t>統一低筋1號1斤</t>
  </si>
  <si>
    <t>A0107009</t>
  </si>
  <si>
    <t>統一特級高筋粉22K</t>
  </si>
  <si>
    <t>A0107010</t>
  </si>
  <si>
    <t>統一特級高筋粉1斤</t>
  </si>
  <si>
    <t>A0107011</t>
  </si>
  <si>
    <t>統一勁強超級麵包粉22KG</t>
  </si>
  <si>
    <t>A0107012</t>
  </si>
  <si>
    <t>統一勁強超級麵包粉1K(停用)</t>
  </si>
  <si>
    <t>A0107013</t>
  </si>
  <si>
    <t>統一油麵專用粉22K-更換品名停用</t>
  </si>
  <si>
    <t>A0107014</t>
  </si>
  <si>
    <t>統一油麵專用粉1斤-更換品名停用</t>
  </si>
  <si>
    <t>A0107015</t>
  </si>
  <si>
    <t>統一麥典QQ麵包專用粉22K</t>
  </si>
  <si>
    <t>A0107016</t>
  </si>
  <si>
    <t>統一麥典QQ麵包專用粉1斤</t>
  </si>
  <si>
    <t>A0107017</t>
  </si>
  <si>
    <t>統一油條專用粉(高筋3號)22K</t>
  </si>
  <si>
    <t>A0107018</t>
  </si>
  <si>
    <t>統一油條專用粉(高筋3號)1斤</t>
  </si>
  <si>
    <t>A0107019</t>
  </si>
  <si>
    <t>統一蛋糕專用粉22KG</t>
  </si>
  <si>
    <t>A0107020</t>
  </si>
  <si>
    <t>統一蛋糕專用粉1斤</t>
  </si>
  <si>
    <t>A0107021</t>
  </si>
  <si>
    <t>統一粉心粉特22KG(油麵專用粉)(停售)</t>
  </si>
  <si>
    <t>A0107022</t>
  </si>
  <si>
    <t>統一粉心粉特1斤(油麵專用粉)</t>
  </si>
  <si>
    <t>A0107023</t>
  </si>
  <si>
    <t>統一法國歐式麵包專用粉22K</t>
  </si>
  <si>
    <t>A0107024</t>
  </si>
  <si>
    <t>統一法國歐式麵包專用粉1斤</t>
  </si>
  <si>
    <t>A0107025</t>
  </si>
  <si>
    <t>統一勁Q麵條專用粉</t>
  </si>
  <si>
    <t>A0107026</t>
  </si>
  <si>
    <t>統一勁強(1號)超級麵包粉22KG</t>
  </si>
  <si>
    <t>A0107027</t>
  </si>
  <si>
    <t>【停售】統一麥典法國粉</t>
  </si>
  <si>
    <t>A0107028</t>
  </si>
  <si>
    <t>【停售】統一勁綿麵包專用粉22KG</t>
  </si>
  <si>
    <t>A0108001</t>
  </si>
  <si>
    <t>洽發松鶴高筋22K</t>
  </si>
  <si>
    <t>A0108002</t>
  </si>
  <si>
    <t>洽發松鶴高筋1K(停用)</t>
  </si>
  <si>
    <t>A0108003</t>
  </si>
  <si>
    <t>洽發松鶴全麥粉22K(停售)</t>
  </si>
  <si>
    <t>A0108004</t>
  </si>
  <si>
    <t>洽發松鶴全麥粉1K(停售)</t>
  </si>
  <si>
    <t>A0108005</t>
  </si>
  <si>
    <t>洽發松鶴披薩專用粉(中梅)22K</t>
  </si>
  <si>
    <t>A0108006</t>
  </si>
  <si>
    <t>洽發松鶴披薩專用粉(中梅)1斤</t>
  </si>
  <si>
    <t>A0108007</t>
  </si>
  <si>
    <t>洽發松鶴紅粉心22K</t>
  </si>
  <si>
    <t>A0108008</t>
  </si>
  <si>
    <t>【停售】洽發松鶴紅粉心1K</t>
  </si>
  <si>
    <t>A0108009</t>
  </si>
  <si>
    <t>洽發松鶴綠粉心22K</t>
  </si>
  <si>
    <t>A0108011</t>
  </si>
  <si>
    <t>洽發松鶴綠粉心1斤</t>
  </si>
  <si>
    <t>A0108012</t>
  </si>
  <si>
    <t>洽發松鶴綠粉心(特1)22K</t>
  </si>
  <si>
    <t>A0108013</t>
  </si>
  <si>
    <t>洽發松鶴綠粉心(特1)1斤</t>
  </si>
  <si>
    <t>A0108014</t>
  </si>
  <si>
    <t>【停售】洽發松鶴綠粉心-1 22K</t>
  </si>
  <si>
    <t>A0108015</t>
  </si>
  <si>
    <t>洽發松鶴綠粉心-1 1斤(停用)</t>
  </si>
  <si>
    <t>A0108016</t>
  </si>
  <si>
    <t>洽發松鶴麵粉(中筋)-請打A0108007</t>
  </si>
  <si>
    <t>A0108017</t>
  </si>
  <si>
    <t>洽發松鶴麵粉(中筋)-請打A0108008</t>
  </si>
  <si>
    <t>A0108018</t>
  </si>
  <si>
    <t>洽發松鶴麵粉(低筋)22KG</t>
  </si>
  <si>
    <t>A0108019</t>
  </si>
  <si>
    <t>洽發松鶴麵粉(低筋)1KG(停用)</t>
  </si>
  <si>
    <t>A0108020</t>
  </si>
  <si>
    <t>【停售】洽發松鶴麵粉(低筋-梅)22KG</t>
  </si>
  <si>
    <t>A0108021</t>
  </si>
  <si>
    <t>洽發松鶴麵粉(低筋-梅)1斤</t>
  </si>
  <si>
    <t>A0108022</t>
  </si>
  <si>
    <t>洽發紫高師父超Q(中筋)22K</t>
  </si>
  <si>
    <t>A0108023</t>
  </si>
  <si>
    <t>洽發紫高師父超Q(中筋)1斤</t>
  </si>
  <si>
    <t>A0108024</t>
  </si>
  <si>
    <t>洽發超Q特高師父(中筋)22K</t>
  </si>
  <si>
    <t>庫存售完後停售</t>
  </si>
  <si>
    <t>創味經典上湯調味粉</t>
  </si>
  <si>
    <t>非銷售品</t>
  </si>
  <si>
    <t>H0102003</t>
  </si>
  <si>
    <t>加州1/8核桃30lb</t>
  </si>
  <si>
    <t>H0102004</t>
  </si>
  <si>
    <t>加州1/8核桃1KG</t>
  </si>
  <si>
    <t>H0103001</t>
  </si>
  <si>
    <t>胡桃30lb</t>
  </si>
  <si>
    <t>H0103002</t>
  </si>
  <si>
    <t>胡桃1KG</t>
  </si>
  <si>
    <t>H0104001</t>
  </si>
  <si>
    <t>夏威夷果4號(半顆)25lb</t>
  </si>
  <si>
    <t>H0104002</t>
  </si>
  <si>
    <t>夏威夷果4號(半顆)1K</t>
  </si>
  <si>
    <t>J0699003</t>
  </si>
  <si>
    <t>綠胡椒粒 1K-規格轉換停用</t>
  </si>
  <si>
    <t>J0699004</t>
  </si>
  <si>
    <t>紅胡椒粒 1K-規格轉換停用</t>
  </si>
  <si>
    <t>J0699005</t>
  </si>
  <si>
    <t>8cm錫蘭肉桂捲500G-品號重覆停用</t>
  </si>
  <si>
    <t>J0699006</t>
  </si>
  <si>
    <t>【停售】科林洋香菜葉500G</t>
  </si>
  <si>
    <t>J0699007</t>
  </si>
  <si>
    <t>科林香草綜合香料(普羅旺斯)500G</t>
  </si>
  <si>
    <t>J0699008</t>
  </si>
  <si>
    <t>科林黑胡椒碎#16 1K</t>
  </si>
  <si>
    <t>J0699009</t>
  </si>
  <si>
    <t>CINNAMON POWDER 肉桂粉1K</t>
  </si>
  <si>
    <t>J0699010</t>
  </si>
  <si>
    <t>PEPPER WHITE GROUND白胡椒粉1K</t>
  </si>
  <si>
    <t>J0699011</t>
  </si>
  <si>
    <t>【停售】達客帕里多尼香料2.5K</t>
  </si>
  <si>
    <t>J0699012</t>
  </si>
  <si>
    <t>韓國辣椒粉(細) 3K</t>
  </si>
  <si>
    <t>J0699013</t>
  </si>
  <si>
    <t>韓國辣椒粉(粗) 3K</t>
  </si>
  <si>
    <t>J0699014</t>
  </si>
  <si>
    <t>野山椒辣椒粉(片)</t>
  </si>
  <si>
    <t>J0699015</t>
  </si>
  <si>
    <t>科林大茴香籽 anice</t>
  </si>
  <si>
    <t>J0699016</t>
  </si>
  <si>
    <t>Garlic powder蒜粉1K</t>
  </si>
  <si>
    <t>J0699017</t>
  </si>
  <si>
    <t>科林黑胡椒碎#34 1K</t>
  </si>
  <si>
    <t>J0699018</t>
  </si>
  <si>
    <t>Cinnamon Stick 8cm錫蘭肉桂卷Gaban 500G</t>
  </si>
  <si>
    <t>J0699019</t>
  </si>
  <si>
    <t>BLACK PEPPER GROUND黑胡椒粉1K(停售)</t>
  </si>
  <si>
    <t>J0699020</t>
  </si>
  <si>
    <t>S&amp;B七味唐辛子300G</t>
  </si>
  <si>
    <t>J0699021</t>
  </si>
  <si>
    <t>韓國細粒辣椒粉1K</t>
  </si>
  <si>
    <t>J0699022</t>
  </si>
  <si>
    <t>韓國粗粒辣椒粉1K</t>
  </si>
  <si>
    <t>J0699023</t>
  </si>
  <si>
    <t>加藤美蜂園柚子粉25G</t>
  </si>
  <si>
    <t>J0699024</t>
  </si>
  <si>
    <t>美廚玉桂粉(肉桂粉)250G</t>
  </si>
  <si>
    <t>J0699025</t>
  </si>
  <si>
    <t>【停售】紅胡椒粒 1G</t>
  </si>
  <si>
    <t>J0699026</t>
  </si>
  <si>
    <t>【停售】綠胡椒粒 1G</t>
  </si>
  <si>
    <t>J0699027</t>
  </si>
  <si>
    <t>【停售】白胡椒粒 1G</t>
  </si>
  <si>
    <t>J0699028</t>
  </si>
  <si>
    <t>黑胡椒粒 1G</t>
  </si>
  <si>
    <t>J0699029</t>
  </si>
  <si>
    <t>大茴香子100G</t>
  </si>
  <si>
    <t>J0699030</t>
  </si>
  <si>
    <t>印度葛縷子100G</t>
  </si>
  <si>
    <t>J0699031</t>
  </si>
  <si>
    <t>印度肉桂粉100G</t>
  </si>
  <si>
    <t>J0699032</t>
  </si>
  <si>
    <t>印度肉荳蔻粉50G</t>
  </si>
  <si>
    <t>J0699033</t>
  </si>
  <si>
    <t>Max Meridia番紅花絲</t>
  </si>
  <si>
    <t>J0699034</t>
  </si>
  <si>
    <t>東遠乾辣椒</t>
  </si>
  <si>
    <t>J0699035</t>
  </si>
  <si>
    <t>新鮮茵陳蒿</t>
  </si>
  <si>
    <t>J0699036</t>
  </si>
  <si>
    <t>東遠豆蔻粒50G</t>
  </si>
  <si>
    <t>J0699037</t>
  </si>
  <si>
    <t>印度肉荳蔻粒50G</t>
  </si>
  <si>
    <t>J0699038</t>
  </si>
  <si>
    <t>印度綠荳蔻粒50G</t>
  </si>
  <si>
    <t>J0699039</t>
  </si>
  <si>
    <t>印度綠荳蔻粉50G</t>
  </si>
  <si>
    <t>J0699040</t>
  </si>
  <si>
    <t>Verstegen錫蘭肉桂捲150G</t>
  </si>
  <si>
    <t>J0699041</t>
  </si>
  <si>
    <t>貢布紅胡椒粒50G(廠商停業)</t>
  </si>
  <si>
    <t>J0699042</t>
  </si>
  <si>
    <t>貢布黑胡椒粒50G(廠商停業)</t>
  </si>
  <si>
    <t>J0699043</t>
  </si>
  <si>
    <t>根元 八幡屋礒五郎 七味唐辛子14G</t>
  </si>
  <si>
    <t>J0699044</t>
  </si>
  <si>
    <t>根元 八幡屋礒五郎 一味唐辛子12G</t>
  </si>
  <si>
    <t>J0699045</t>
  </si>
  <si>
    <t>根元 八幡屋礒五郎 柚子七味粉12G</t>
  </si>
  <si>
    <t>J0699046</t>
  </si>
  <si>
    <t>根元 八幡屋礒五郎 七味胡麻粒120G-停產品號停用</t>
  </si>
  <si>
    <t>J0699047</t>
  </si>
  <si>
    <t>根元 八幡屋礒五郎 七味唐辛子100G</t>
  </si>
  <si>
    <t>J0699048</t>
  </si>
  <si>
    <t>根元 八幡屋礒五郎 七味胡麻粒60G</t>
  </si>
  <si>
    <t>J0699049</t>
  </si>
  <si>
    <t>根元 八幡屋礒五郎 柚子七味粉130G</t>
  </si>
  <si>
    <t>J0699050</t>
  </si>
  <si>
    <t>台灣原生馬告(山胡椒)30G</t>
  </si>
  <si>
    <t>J0699051</t>
  </si>
  <si>
    <t>貢布黑胡椒粒500G(廠商停業)</t>
  </si>
  <si>
    <t>J0699052</t>
  </si>
  <si>
    <t>小食樂紅油160ML</t>
  </si>
  <si>
    <t>J0699053</t>
  </si>
  <si>
    <t>GS大蒜粉</t>
  </si>
  <si>
    <t>J0699054</t>
  </si>
  <si>
    <t>【停售】明智院清淨辣椒粉-粗粒3KG</t>
  </si>
  <si>
    <t>J0699055</t>
  </si>
  <si>
    <t>小食樂 家傳手工紅油90ml</t>
  </si>
  <si>
    <t>J0699056</t>
  </si>
  <si>
    <t>MARUYA 京七味粉</t>
  </si>
  <si>
    <t>J0699057</t>
  </si>
  <si>
    <t>科林香草綜合香料(普羅旺斯)12KG</t>
  </si>
  <si>
    <t>J201016</t>
  </si>
  <si>
    <t>Kenko柔和金芝麻沙拉醬500ML(品號錯誤-停用)</t>
  </si>
  <si>
    <t>J9999001</t>
  </si>
  <si>
    <t>大BB醬165G</t>
  </si>
  <si>
    <t>J9999002</t>
  </si>
  <si>
    <t>TABASCO辣霸 60ML(停售)</t>
  </si>
  <si>
    <t>J9999003</t>
  </si>
  <si>
    <t>Morehouse芥茉醬24oz-規格有誤停用</t>
  </si>
  <si>
    <t>J9999004</t>
  </si>
  <si>
    <t>Pommery芥茉籽醬500G(紅蓋)-缺貨暫時停用</t>
  </si>
  <si>
    <t>J9999005</t>
  </si>
  <si>
    <t>Fallot法式傳統芥茉籽醬1.1K(停售)</t>
  </si>
  <si>
    <t>J9999006</t>
  </si>
  <si>
    <t>味源甜辣醬10斤</t>
  </si>
  <si>
    <t>J9999007</t>
  </si>
  <si>
    <t>台山甜辣醬4.2K</t>
  </si>
  <si>
    <t>J9999008</t>
  </si>
  <si>
    <t>香山辣椒油2400G</t>
  </si>
  <si>
    <t>J9999009</t>
  </si>
  <si>
    <t>香山辣椒醬2700G</t>
  </si>
  <si>
    <t>Z001</t>
  </si>
  <si>
    <t>生箱-木盒本體</t>
  </si>
  <si>
    <t>Z0010001</t>
  </si>
  <si>
    <t>CAPUTO杜蘭麵粉5KG(製麵專用)</t>
  </si>
  <si>
    <t>Z0010002</t>
  </si>
  <si>
    <t>CAPUTO 00 麵粉(咖)25KG(製麵專用)</t>
  </si>
  <si>
    <t>Z0010003</t>
  </si>
  <si>
    <t>和發全蛋粉1KG(製麵專用)</t>
  </si>
  <si>
    <t>Z0010004</t>
  </si>
  <si>
    <t>和發全蛋粉25KG(製麵專用)</t>
  </si>
  <si>
    <t>Z0010005</t>
  </si>
  <si>
    <t>和發蛋黃粉1KG(製麵專用)</t>
  </si>
  <si>
    <t>Z0010006</t>
  </si>
  <si>
    <t>和發蛋黃粉25KG(製麵專用)</t>
  </si>
  <si>
    <t>Z0010007</t>
  </si>
  <si>
    <t>和發蛋白粉1KG(製麵專用)</t>
  </si>
  <si>
    <t>Z0010008</t>
  </si>
  <si>
    <t>和發蛋白粉25KG(製麵專用)</t>
  </si>
  <si>
    <t>Z0010009</t>
  </si>
  <si>
    <t>和發小麥蛋白粉25KG(製麵專用)</t>
  </si>
  <si>
    <t>Z0010010</t>
  </si>
  <si>
    <t>台榮玉米澱粉25KG(製麵專用)</t>
  </si>
  <si>
    <t>Z0010011</t>
  </si>
  <si>
    <t>和發紫駱駝粉心特級麵條專用麵粉22K(製麵專用)</t>
  </si>
  <si>
    <t>Z0010012</t>
  </si>
  <si>
    <t>ETHANOL 95%景明酒精(食用級)20L(製麵專用)</t>
  </si>
  <si>
    <t>Z0010013</t>
  </si>
  <si>
    <t>和發紫蘿蔔粉心麵粉22K(製麵專用)</t>
  </si>
  <si>
    <t>Z002</t>
  </si>
  <si>
    <t>生箱-木盒上蓋</t>
  </si>
  <si>
    <t>ZZ0101</t>
  </si>
  <si>
    <t>電腦設備 個人電腦</t>
  </si>
  <si>
    <t>ZZ010101001</t>
  </si>
  <si>
    <t>電腦設備 個人電腦 Acer</t>
  </si>
  <si>
    <t>創味經典上湯調味粉-品號未入</t>
  </si>
  <si>
    <t>標準價</t>
    <phoneticPr fontId="3" type="noConversion"/>
  </si>
  <si>
    <t>價格判定</t>
    <phoneticPr fontId="3" type="noConversion"/>
  </si>
  <si>
    <t>20251114</t>
  </si>
  <si>
    <t>114/11/14</t>
  </si>
  <si>
    <t>N:未結案</t>
  </si>
  <si>
    <t>B9902</t>
  </si>
  <si>
    <t>待報廢倉-苗栗</t>
  </si>
  <si>
    <t>114/11/30</t>
  </si>
  <si>
    <t>114/03/31</t>
  </si>
  <si>
    <t>20251121</t>
  </si>
  <si>
    <t>114/11/21</t>
  </si>
  <si>
    <t>114/04/24</t>
  </si>
  <si>
    <t>20251230</t>
  </si>
  <si>
    <t>114/12/30</t>
  </si>
  <si>
    <t>A1302</t>
  </si>
  <si>
    <t>待處理-苗栗倉</t>
  </si>
  <si>
    <t>114/10/15</t>
  </si>
  <si>
    <t>114/05/13</t>
  </si>
  <si>
    <t>20260128</t>
  </si>
  <si>
    <t>115/01/28</t>
  </si>
  <si>
    <t>114/06/20</t>
  </si>
  <si>
    <t>20260417</t>
  </si>
  <si>
    <t>115/04/17</t>
  </si>
  <si>
    <t>114/07/21</t>
  </si>
  <si>
    <t>B9901</t>
  </si>
  <si>
    <t>待報廢倉-台北</t>
  </si>
  <si>
    <t>114/08/29</t>
  </si>
  <si>
    <t>20260511</t>
  </si>
  <si>
    <t>115/05/11</t>
  </si>
  <si>
    <t>114/08/14</t>
  </si>
  <si>
    <t>114/09/22</t>
  </si>
  <si>
    <t>20260523</t>
  </si>
  <si>
    <t>115/05/23</t>
  </si>
  <si>
    <t>114/08/26</t>
  </si>
  <si>
    <t>114/10/02</t>
  </si>
  <si>
    <t>20260524</t>
  </si>
  <si>
    <t>115/05/24</t>
  </si>
  <si>
    <t>114/08/27</t>
  </si>
  <si>
    <t>A01</t>
  </si>
  <si>
    <t>苗栗倉庫</t>
  </si>
  <si>
    <t>114/11/27</t>
  </si>
  <si>
    <t>114/10/01</t>
  </si>
  <si>
    <t>A07</t>
  </si>
  <si>
    <t>台北倉庫</t>
  </si>
  <si>
    <t>20260525</t>
  </si>
  <si>
    <t>115/05/25</t>
  </si>
  <si>
    <t>114/08/28</t>
  </si>
  <si>
    <t>114/10/16</t>
  </si>
  <si>
    <t>20260601</t>
  </si>
  <si>
    <t>115/06/01</t>
  </si>
  <si>
    <t>114/09/04</t>
  </si>
  <si>
    <t>A0109</t>
  </si>
  <si>
    <t>苗栗_調撥在途</t>
  </si>
  <si>
    <t>114/10/27</t>
  </si>
  <si>
    <t>A0709</t>
  </si>
  <si>
    <t>台北_調撥在途</t>
  </si>
  <si>
    <t>114/12/03</t>
  </si>
  <si>
    <t>A20</t>
  </si>
  <si>
    <t>台中倉庫</t>
  </si>
  <si>
    <t>20260602</t>
  </si>
  <si>
    <t>115/06/02</t>
  </si>
  <si>
    <t>114/09/05</t>
  </si>
  <si>
    <t>20260603</t>
  </si>
  <si>
    <t>115/06/03</t>
  </si>
  <si>
    <t>114/09/06</t>
  </si>
  <si>
    <t>114/11/04</t>
  </si>
  <si>
    <t>20260604</t>
  </si>
  <si>
    <t>115/06/04</t>
  </si>
  <si>
    <t>114/09/07</t>
  </si>
  <si>
    <t>114/11/05</t>
  </si>
  <si>
    <t>A17</t>
  </si>
  <si>
    <t>好好立和-台北倉</t>
  </si>
  <si>
    <t>20260623</t>
  </si>
  <si>
    <t>115/06/23</t>
  </si>
  <si>
    <t>114/09/26</t>
  </si>
  <si>
    <t>20260706</t>
  </si>
  <si>
    <t>115/07/06</t>
  </si>
  <si>
    <t>114/10/09</t>
  </si>
  <si>
    <t>114/11/13</t>
  </si>
  <si>
    <t>20260711</t>
  </si>
  <si>
    <t>115/07/11</t>
  </si>
  <si>
    <t>114/10/14</t>
  </si>
  <si>
    <t>20260714</t>
  </si>
  <si>
    <t>115/07/14</t>
  </si>
  <si>
    <t>114/10/17</t>
  </si>
  <si>
    <t>114/11/26</t>
  </si>
  <si>
    <t>1KG分裝</t>
  </si>
  <si>
    <t>114/08/21</t>
  </si>
  <si>
    <t>114/11/20</t>
  </si>
  <si>
    <t>114/10/20</t>
  </si>
  <si>
    <t>114/10/07</t>
  </si>
  <si>
    <t>20260222</t>
  </si>
  <si>
    <t>115/02/22</t>
  </si>
  <si>
    <t>114/10/31</t>
  </si>
  <si>
    <t>114/07/28</t>
  </si>
  <si>
    <t>20260306</t>
  </si>
  <si>
    <t>115/03/06</t>
  </si>
  <si>
    <t>114/06/09</t>
  </si>
  <si>
    <t>114/07/31</t>
  </si>
  <si>
    <t>20260411</t>
  </si>
  <si>
    <t>115/04/11</t>
  </si>
  <si>
    <t>114/07/15</t>
  </si>
  <si>
    <t>114/09/02</t>
  </si>
  <si>
    <t>A1401</t>
  </si>
  <si>
    <t>DUMMY倉-台北</t>
  </si>
  <si>
    <t>20260418</t>
  </si>
  <si>
    <t>115/04/18</t>
  </si>
  <si>
    <t>114/07/22</t>
  </si>
  <si>
    <t>20260516</t>
  </si>
  <si>
    <t>115/05/16</t>
  </si>
  <si>
    <t>114/08/19</t>
  </si>
  <si>
    <t>B08</t>
  </si>
  <si>
    <t>玉裕寄倉</t>
  </si>
  <si>
    <t>20260529</t>
  </si>
  <si>
    <t>115/05/29</t>
  </si>
  <si>
    <t>114/09/01</t>
  </si>
  <si>
    <t>114/10/28</t>
  </si>
  <si>
    <t>20260606</t>
  </si>
  <si>
    <t>115/06/06</t>
  </si>
  <si>
    <t>114/09/09</t>
  </si>
  <si>
    <t>A2009</t>
  </si>
  <si>
    <t>台中_調撥在途</t>
  </si>
  <si>
    <t>20260609</t>
  </si>
  <si>
    <t>115/06/09</t>
  </si>
  <si>
    <t>114/09/12</t>
  </si>
  <si>
    <t>114/11/03</t>
  </si>
  <si>
    <t>20260626</t>
  </si>
  <si>
    <t>115/06/26</t>
  </si>
  <si>
    <t>114/09/29</t>
  </si>
  <si>
    <t>20260710</t>
  </si>
  <si>
    <t>115/07/10</t>
  </si>
  <si>
    <t>114/10/13</t>
  </si>
  <si>
    <t>114/11/19</t>
  </si>
  <si>
    <t>114/10/29</t>
  </si>
  <si>
    <t>20260404</t>
  </si>
  <si>
    <t>115/04/04</t>
  </si>
  <si>
    <t>114/10/06</t>
  </si>
  <si>
    <t>20251214</t>
  </si>
  <si>
    <t>114/12/14</t>
  </si>
  <si>
    <t>114/09/30</t>
  </si>
  <si>
    <t>20260224</t>
  </si>
  <si>
    <t>115/02/24</t>
  </si>
  <si>
    <t>114/07/18</t>
  </si>
  <si>
    <t>20260326</t>
  </si>
  <si>
    <t>115/03/26</t>
  </si>
  <si>
    <t>114/06/29</t>
  </si>
  <si>
    <t>A1303</t>
  </si>
  <si>
    <t>待處理-台中倉</t>
  </si>
  <si>
    <t>20260425</t>
  </si>
  <si>
    <t>115/04/25</t>
  </si>
  <si>
    <t>114/07/29</t>
  </si>
  <si>
    <t>114/11/25</t>
  </si>
  <si>
    <t>20260522</t>
  </si>
  <si>
    <t>115/05/22</t>
  </si>
  <si>
    <t>114/08/25</t>
  </si>
  <si>
    <t>20260320</t>
  </si>
  <si>
    <t>115/03/20</t>
  </si>
  <si>
    <t>114/06/24</t>
  </si>
  <si>
    <t>114/10/21</t>
  </si>
  <si>
    <t>20260507</t>
  </si>
  <si>
    <t>115/05/07</t>
  </si>
  <si>
    <t>114/08/11</t>
  </si>
  <si>
    <t>20260127</t>
  </si>
  <si>
    <t>115/01/27</t>
  </si>
  <si>
    <t>20260227</t>
  </si>
  <si>
    <t>115/02/27</t>
  </si>
  <si>
    <t>114/08/31</t>
  </si>
  <si>
    <t>114/11/11</t>
  </si>
  <si>
    <t>114/11/28</t>
  </si>
  <si>
    <t>20260327</t>
  </si>
  <si>
    <t>115/03/27</t>
  </si>
  <si>
    <t>114/09/28</t>
  </si>
  <si>
    <t>20260206</t>
  </si>
  <si>
    <t>115/02/06</t>
  </si>
  <si>
    <t>114/08/10</t>
  </si>
  <si>
    <t>A11</t>
  </si>
  <si>
    <t>委外加工倉</t>
  </si>
  <si>
    <t>20260402</t>
  </si>
  <si>
    <t>115/04/02</t>
  </si>
  <si>
    <t>114/10/04</t>
  </si>
  <si>
    <t>A0701</t>
  </si>
  <si>
    <t>台北鎖貨倉</t>
  </si>
  <si>
    <t>20251215</t>
  </si>
  <si>
    <t>114/12/15</t>
  </si>
  <si>
    <t>114/06/18</t>
  </si>
  <si>
    <t>20260305</t>
  </si>
  <si>
    <t>115/03/05</t>
  </si>
  <si>
    <t>20260329</t>
  </si>
  <si>
    <t>115/03/29</t>
  </si>
  <si>
    <t>20260111</t>
  </si>
  <si>
    <t>115/01/11</t>
  </si>
  <si>
    <t>A1202</t>
  </si>
  <si>
    <t>客訂品-苗栗倉</t>
  </si>
  <si>
    <t>114/08/15</t>
  </si>
  <si>
    <t>20250620</t>
  </si>
  <si>
    <t>A18</t>
  </si>
  <si>
    <t>製麵部加工倉</t>
  </si>
  <si>
    <t>114/05/05</t>
  </si>
  <si>
    <t>114/02/25</t>
  </si>
  <si>
    <t>20250708</t>
  </si>
  <si>
    <t>114/07/08</t>
  </si>
  <si>
    <t>114/04/01</t>
  </si>
  <si>
    <t>20260209</t>
  </si>
  <si>
    <t>115/02/09</t>
  </si>
  <si>
    <t>114/08/13</t>
  </si>
  <si>
    <t>20260228</t>
  </si>
  <si>
    <t>115/02/28</t>
  </si>
  <si>
    <t>114/10/08</t>
  </si>
  <si>
    <t>114/07/03</t>
  </si>
  <si>
    <t>A1201</t>
  </si>
  <si>
    <t>客訂品-台北倉</t>
  </si>
  <si>
    <t>114/11/24</t>
  </si>
  <si>
    <t>20260211</t>
  </si>
  <si>
    <t>115/02/11</t>
  </si>
  <si>
    <t>A1203</t>
  </si>
  <si>
    <t>客訂品-台中倉</t>
  </si>
  <si>
    <t>20260302</t>
  </si>
  <si>
    <t>115/03/02</t>
  </si>
  <si>
    <t>114/09/03</t>
  </si>
  <si>
    <t>20260313</t>
  </si>
  <si>
    <t>115/03/13</t>
  </si>
  <si>
    <t>114/09/14</t>
  </si>
  <si>
    <t>20260413</t>
  </si>
  <si>
    <t>115/04/13</t>
  </si>
  <si>
    <t>20260408</t>
  </si>
  <si>
    <t>115/04/08</t>
  </si>
  <si>
    <t>114/10/10</t>
  </si>
  <si>
    <t>20260205</t>
  </si>
  <si>
    <t>115/02/05</t>
  </si>
  <si>
    <t>114/08/09</t>
  </si>
  <si>
    <t>20260324</t>
  </si>
  <si>
    <t>115/03/24</t>
  </si>
  <si>
    <t>114/09/25</t>
  </si>
  <si>
    <t>20260221</t>
  </si>
  <si>
    <t>115/02/21</t>
  </si>
  <si>
    <t>20260312</t>
  </si>
  <si>
    <t>115/03/12</t>
  </si>
  <si>
    <t>114/09/13</t>
  </si>
  <si>
    <t>20260428</t>
  </si>
  <si>
    <t>115/04/28</t>
  </si>
  <si>
    <t>114/08/01</t>
  </si>
  <si>
    <t>20260527</t>
  </si>
  <si>
    <t>115/05/27</t>
  </si>
  <si>
    <t>20260612</t>
  </si>
  <si>
    <t>115/06/12</t>
  </si>
  <si>
    <t>114/09/15</t>
  </si>
  <si>
    <t>20260617</t>
  </si>
  <si>
    <t>115/06/17</t>
  </si>
  <si>
    <t>114/09/20</t>
  </si>
  <si>
    <t>20250715</t>
  </si>
  <si>
    <t>20260219</t>
  </si>
  <si>
    <t>115/02/19</t>
  </si>
  <si>
    <t>114/08/23</t>
  </si>
  <si>
    <t>20260319</t>
  </si>
  <si>
    <t>115/03/19</t>
  </si>
  <si>
    <t>20250619</t>
  </si>
  <si>
    <t>114/06/19</t>
  </si>
  <si>
    <t>20250709</t>
  </si>
  <si>
    <t>114/07/09</t>
  </si>
  <si>
    <t>20250908</t>
  </si>
  <si>
    <t>114/09/08</t>
  </si>
  <si>
    <t>20250928</t>
  </si>
  <si>
    <t>114/05/29</t>
  </si>
  <si>
    <t>20260403</t>
  </si>
  <si>
    <t>115/04/03</t>
  </si>
  <si>
    <t>114/10/05</t>
  </si>
  <si>
    <t>10KG/包</t>
  </si>
  <si>
    <t>20260118</t>
  </si>
  <si>
    <t>115/01/18</t>
  </si>
  <si>
    <t>114/09/27</t>
  </si>
  <si>
    <t>20260225</t>
  </si>
  <si>
    <t>115/02/25</t>
  </si>
  <si>
    <t>114/11/06</t>
  </si>
  <si>
    <t>20260409</t>
  </si>
  <si>
    <t>115/04/09</t>
  </si>
  <si>
    <t>114/10/11</t>
  </si>
  <si>
    <t>114/11/17</t>
  </si>
  <si>
    <t>20260416</t>
  </si>
  <si>
    <t>115/04/16</t>
  </si>
  <si>
    <t>114/10/18</t>
  </si>
  <si>
    <t>20260318</t>
  </si>
  <si>
    <t>115/03/18</t>
  </si>
  <si>
    <t>114/09/19</t>
  </si>
  <si>
    <t>20260325</t>
  </si>
  <si>
    <t>115/03/25</t>
  </si>
  <si>
    <t>114/11/10</t>
  </si>
  <si>
    <t>20260415</t>
  </si>
  <si>
    <t>115/04/15</t>
  </si>
  <si>
    <t>20260212</t>
  </si>
  <si>
    <t>115/02/12</t>
  </si>
  <si>
    <t>114/08/16</t>
  </si>
  <si>
    <t>A1402</t>
  </si>
  <si>
    <t>DUMMY倉-苗栗</t>
  </si>
  <si>
    <t>114/09/11</t>
  </si>
  <si>
    <t>20260330</t>
  </si>
  <si>
    <t>115/03/30</t>
  </si>
  <si>
    <t>114/10/30</t>
  </si>
  <si>
    <t>114/10/19</t>
  </si>
  <si>
    <t>114/11/12</t>
  </si>
  <si>
    <t>20260424</t>
  </si>
  <si>
    <t>115/04/24</t>
  </si>
  <si>
    <t>114/10/26</t>
  </si>
  <si>
    <t>114/11/18</t>
  </si>
  <si>
    <t>20260220</t>
  </si>
  <si>
    <t>115/02/20</t>
  </si>
  <si>
    <t>114/08/24</t>
  </si>
  <si>
    <t>20260308</t>
  </si>
  <si>
    <t>115/03/08</t>
  </si>
  <si>
    <t>20251211</t>
  </si>
  <si>
    <t>114/12/11</t>
  </si>
  <si>
    <t>114/07/16</t>
  </si>
  <si>
    <t>114/09/21</t>
  </si>
  <si>
    <t>20260406</t>
  </si>
  <si>
    <t>115/04/06</t>
  </si>
  <si>
    <t>20260304</t>
  </si>
  <si>
    <t>115/03/04</t>
  </si>
  <si>
    <t>20260322</t>
  </si>
  <si>
    <t>115/03/22</t>
  </si>
  <si>
    <t>114/09/23</t>
  </si>
  <si>
    <t>20260401</t>
  </si>
  <si>
    <t>115/04/01</t>
  </si>
  <si>
    <t>114/10/03</t>
  </si>
  <si>
    <t>20260208</t>
  </si>
  <si>
    <t>115/02/08</t>
  </si>
  <si>
    <t>114/08/12</t>
  </si>
  <si>
    <t>20260309</t>
  </si>
  <si>
    <t>115/03/09</t>
  </si>
  <si>
    <t>114/09/10</t>
  </si>
  <si>
    <t>114/02/12</t>
  </si>
  <si>
    <t>114/11/07</t>
  </si>
  <si>
    <t>22KG/包</t>
  </si>
  <si>
    <t>20261015</t>
  </si>
  <si>
    <t>115/10/15</t>
  </si>
  <si>
    <t>20270212</t>
  </si>
  <si>
    <t>116/02/12</t>
  </si>
  <si>
    <t>20270211</t>
  </si>
  <si>
    <t>116/02/11</t>
  </si>
  <si>
    <t>114/02/11</t>
  </si>
  <si>
    <t>30lb/箱</t>
  </si>
  <si>
    <t>20270121</t>
  </si>
  <si>
    <t>116/01/21</t>
  </si>
  <si>
    <t>20270303</t>
  </si>
  <si>
    <t>116/03/03</t>
  </si>
  <si>
    <t>114/03/04</t>
  </si>
  <si>
    <t>25磅/箱(11.34KG)</t>
  </si>
  <si>
    <t>20261017</t>
  </si>
  <si>
    <t>115/10/17</t>
  </si>
  <si>
    <t>113/10/17</t>
  </si>
  <si>
    <t>20261113</t>
  </si>
  <si>
    <t>115/11/13</t>
  </si>
  <si>
    <t>113/11/13</t>
  </si>
  <si>
    <t>113/10/16</t>
  </si>
  <si>
    <t>20251226</t>
  </si>
  <si>
    <t>20260123</t>
  </si>
  <si>
    <t>20260126</t>
  </si>
  <si>
    <t>115/01/26</t>
  </si>
  <si>
    <t>113/01/27</t>
  </si>
  <si>
    <t>規格</t>
  </si>
  <si>
    <t>包裝單位</t>
  </si>
  <si>
    <t>批號</t>
  </si>
  <si>
    <t>有效日期</t>
  </si>
  <si>
    <t>製造日期</t>
  </si>
  <si>
    <t>結案碼</t>
  </si>
  <si>
    <t>庫別</t>
  </si>
  <si>
    <t>庫別名稱</t>
  </si>
  <si>
    <t>期初庫存</t>
  </si>
  <si>
    <t>本期入庫</t>
  </si>
  <si>
    <t>本期出庫</t>
  </si>
  <si>
    <t>期末庫存</t>
  </si>
  <si>
    <t>期初包裝庫存</t>
  </si>
  <si>
    <t>本期包裝入庫</t>
  </si>
  <si>
    <t>本期包裝出庫</t>
  </si>
  <si>
    <t>期末包裝庫存</t>
  </si>
  <si>
    <t>最近入庫日</t>
  </si>
  <si>
    <t>批號最近入庫日</t>
  </si>
  <si>
    <t>(114+1911)=2025/11 Nov /14 14th</t>
  </si>
  <si>
    <t>業務員 | Sale persion</t>
  </si>
  <si>
    <t>交貨日 | Delivery date</t>
  </si>
  <si>
    <t>報價日期 | Quotation Date</t>
  </si>
  <si>
    <t>報價單號 | Quotation Number</t>
  </si>
  <si>
    <t>客戶代號 | Customer Code</t>
  </si>
  <si>
    <t>客戶簡稱 | Customer</t>
  </si>
  <si>
    <t>單據日期 | document date</t>
  </si>
  <si>
    <t>報價金額 | Quoted amount</t>
  </si>
  <si>
    <t>稅額 | tax</t>
  </si>
  <si>
    <t>品號 | SKU</t>
  </si>
  <si>
    <t>品 號 | SKU</t>
  </si>
  <si>
    <t>品 名 | Product Name</t>
  </si>
  <si>
    <t>品名 | Product Name</t>
  </si>
  <si>
    <t>規 格</t>
  </si>
  <si>
    <t>單位 | unit</t>
  </si>
  <si>
    <t>匯率 | Exchange rate</t>
  </si>
  <si>
    <t>總數量 | 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</si>
</sst>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#,##0_ ;\-##,##0\ "/>
    <numFmt numFmtId="165" formatCode="##,##0.0_ ;\-##,##0.0\ "/>
    <numFmt numFmtId="166" formatCode="##,##0.00_ ;\-##,##0.00\ "/>
    <numFmt numFmtId="167" formatCode="_-* #,##0_-;\-* #,##0_-;_-* &quot;-&quot;??_-;_-@_-"/>
    <numFmt numFmtId="168" formatCode="##,##0.000_ ;\-##,##0.000\ "/>
  </numFmts>
  <fonts count="12">
    <font>
      <sz val="10"/>
      <name val="Arial"/>
    </font>
    <font>
      <sz val="10"/>
      <name val="Arial"/>
      <family val="2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0"/>
      <color rgb="FF000000"/>
      <name val="Arial"/>
      <family val="2"/>
    </font>
    <font>
      <sz val="12"/>
      <color theme="2" tint="-0.89999084444715716"/>
      <name val="新細明體"/>
      <family val="1"/>
      <charset val="136"/>
    </font>
    <font>
      <sz val="14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Arial"/>
      <family val="2"/>
    </font>
    <font>
      <sz val="14"/>
      <color rgb="FF333333"/>
      <name val="微軟正黑體"/>
      <family val="2"/>
      <charset val="136"/>
    </font>
    <font>
      <sz val="14"/>
      <color theme="2" tint="-0.89999084444715716"/>
      <name val="微軟正黑體"/>
      <family val="2"/>
      <charset val="136"/>
    </font>
    <font>
      <b/>
      <sz val="14"/>
      <color rgb="FFFFFFFF"/>
      <name val="SimSun"/>
    </font>
  </fonts>
  <fills count="4">
    <fill>
      <patternFill patternType="none"/>
    </fill>
    <fill>
      <patternFill patternType="gray125"/>
    </fill>
    <fill>
      <patternFill patternType="solid">
        <fgColor rgb="FF574F8B"/>
        <b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766FA0"/>
      </left>
      <right style="thin">
        <color rgb="FF766FA0"/>
      </right>
      <top/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/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33">
    <xf numFmtId="0" fontId="0" fillId="0" borderId="0" xfId="0">
      <alignment vertical="center"/>
    </xf>
    <xf numFmtId="167" fontId="0" fillId="0" borderId="0" xfId="1" applyNumberFormat="1" applyFont="1">
      <alignment vertical="center"/>
    </xf>
    <xf numFmtId="0" fontId="0" fillId="0" borderId="0" xfId="0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0" fillId="3" borderId="0" xfId="0" applyFill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7" fontId="8" fillId="0" borderId="0" xfId="1" applyNumberFormat="1" applyFont="1">
      <alignment vertical="center"/>
    </xf>
    <xf numFmtId="0" fontId="8" fillId="0" borderId="0" xfId="0" applyFont="1" applyAlignment="1">
      <alignment horizontal="center" vertical="center"/>
    </xf>
    <xf numFmtId="166" fontId="6" fillId="0" borderId="0" xfId="0" applyNumberFormat="1" applyFont="1" applyAlignment="1">
      <alignment horizontal="right" vertical="center"/>
    </xf>
    <xf numFmtId="49" fontId="9" fillId="0" borderId="8" xfId="2" applyNumberFormat="1" applyFont="1" applyBorder="1" applyAlignment="1">
      <alignment horizontal="center" vertical="center"/>
    </xf>
    <xf numFmtId="0" fontId="9" fillId="0" borderId="8" xfId="2" applyFont="1" applyBorder="1" applyAlignment="1">
      <alignment horizontal="center" vertical="center"/>
    </xf>
    <xf numFmtId="49" fontId="9" fillId="0" borderId="10" xfId="2" applyNumberFormat="1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164" fontId="7" fillId="0" borderId="3" xfId="0" applyNumberFormat="1" applyFont="1" applyBorder="1" applyAlignment="1">
      <alignment horizontal="right" vertical="center"/>
    </xf>
    <xf numFmtId="164" fontId="10" fillId="3" borderId="3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168" fontId="7" fillId="0" borderId="3" xfId="0" applyNumberFormat="1" applyFont="1" applyBorder="1" applyAlignment="1">
      <alignment horizontal="right" vertical="center"/>
    </xf>
    <xf numFmtId="166" fontId="10" fillId="3" borderId="3" xfId="0" applyNumberFormat="1" applyFont="1" applyFill="1" applyBorder="1" applyAlignment="1">
      <alignment horizontal="center" vertical="center"/>
    </xf>
    <xf numFmtId="168" fontId="10" fillId="3" borderId="3" xfId="0" applyNumberFormat="1" applyFont="1" applyFill="1" applyBorder="1" applyAlignment="1">
      <alignment horizontal="center" vertical="center"/>
    </xf>
    <xf numFmtId="166" fontId="7" fillId="0" borderId="3" xfId="0" applyNumberFormat="1" applyFont="1" applyBorder="1" applyAlignment="1">
      <alignment horizontal="right" vertical="center"/>
    </xf>
    <xf numFmtId="0" fontId="7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10" fillId="3" borderId="5" xfId="0" applyFont="1" applyFill="1" applyBorder="1" applyAlignment="1">
      <alignment horizontal="center"/>
    </xf>
    <xf numFmtId="0" fontId="7" fillId="0" borderId="7" xfId="0" applyFont="1" applyBorder="1" applyAlignment="1">
      <alignment horizontal="left" vertical="center"/>
    </xf>
    <xf numFmtId="49" fontId="11" fillId="2" borderId="9" xfId="2" applyNumberFormat="1" applyFont="1" applyFill="1" applyBorder="1" applyAlignment="1">
      <alignment horizontal="left" vertical="center"/>
    </xf>
    <xf numFmtId="167" fontId="6" fillId="0" borderId="11" xfId="1" applyNumberFormat="1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一般 2" xfId="2" xr:uid="{FF9CEFFD-F91C-44EF-9CF0-CE0DD0B8AB2E}"/>
  </cellStyles>
  <dxfs count="88">
    <dxf>
      <font>
        <b val="0"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border outline="0"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border outline="0">
        <top style="thin">
          <color rgb="FFEBEBEB"/>
        </top>
      </border>
    </dxf>
    <dxf>
      <border outline="0">
        <top style="thin">
          <color rgb="FF766FA0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A5A5B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SimSun"/>
        <scheme val="none"/>
      </font>
      <numFmt numFmtId="30" formatCode="@"/>
      <fill>
        <patternFill patternType="solid">
          <fgColor rgb="FFFFFFFF"/>
          <bgColor rgb="FF574F8B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766FA0"/>
        </left>
        <right style="thin">
          <color rgb="FF766FA0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auto="1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</font>
      <numFmt numFmtId="167" formatCode="_-* #,##0_-;\-* #,##0_-;_-* &quot;-&quot;??_-;_-@_-"/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family val="2"/>
        <charset val="136"/>
      </font>
    </dxf>
    <dxf>
      <border outline="0"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C10357-1562-492C-8E9D-AD2571E07E0D}" name="表格1" displayName="表格1" ref="A1:AT36" totalsRowShown="0" headerRowDxfId="87" dataDxfId="85" headerRowBorderDxfId="86">
  <autoFilter ref="A1:AT36" xr:uid="{1AC10357-1562-492C-8E9D-AD2571E07E0D}"/>
  <tableColumns count="46">
    <tableColumn id="1" xr3:uid="{EAFA94CB-3932-4F54-8155-A42455808B01}" name="報價日期 | Quotation Date" dataDxfId="84"/>
    <tableColumn id="2" xr3:uid="{9BDCACA7-8639-4D03-BECE-DCFFDAE367E1}" name="報價單號 | Quotation Number" dataDxfId="83"/>
    <tableColumn id="3" xr3:uid="{F029DE3A-6570-4BA1-975E-54E84BC7545A}" name="客戶代號 | Customer Code" dataDxfId="82"/>
    <tableColumn id="4" xr3:uid="{6EAE0659-56AE-4904-A8E7-2B331D4A5143}" name="客戶簡稱 | Customer" dataDxfId="81"/>
    <tableColumn id="5" xr3:uid="{BE62E495-F16B-4182-B9C1-270047DFB157}" name="單據日期 | document date" dataDxfId="80"/>
    <tableColumn id="6" xr3:uid="{FED501B4-4787-4FC7-95BB-8281B4F3537A}" name="客戶全名" dataDxfId="79"/>
    <tableColumn id="7" xr3:uid="{C76A74CA-11B0-4721-80CB-E6AEC7DDCA5D}" name="幣別" dataDxfId="78"/>
    <tableColumn id="8" xr3:uid="{5A6FB095-4EBB-4CC6-A75D-0FA2A4831338}" name="匯率 | Exchange rate" dataDxfId="77"/>
    <tableColumn id="9" xr3:uid="{30689E07-140D-4A44-89D9-04A2B9B47ECA}" name="報價金額 | Quoted amount" dataDxfId="76"/>
    <tableColumn id="10" xr3:uid="{9F28830D-49A3-4DA1-B5A9-F19E53AA9E1B}" name="稅額 | tax" dataDxfId="75"/>
    <tableColumn id="11" xr3:uid="{54161B3B-662E-48EF-94F0-B1417FBDD84F}" name="總數量 | Total quantity" dataDxfId="74"/>
    <tableColumn id="12" xr3:uid="{6712DE6E-9165-4E66-B111-1A1E8268A3D0}" name="交貨日 | Delivery date" dataDxfId="73"/>
    <tableColumn id="13" xr3:uid="{186AF3FD-9B61-4774-995A-B1BC1A5D0DC8}" name="業務員 | Sale persion" dataDxfId="72"/>
    <tableColumn id="14" xr3:uid="{E3D01396-B862-46C6-B7BC-3FF38604905B}" name="課稅別" dataDxfId="71"/>
    <tableColumn id="15" xr3:uid="{3408BDDD-2F0D-4004-B7B7-D3BB2322A9E2}" name="確認" dataDxfId="70"/>
    <tableColumn id="16" xr3:uid="{3980FBF2-18B0-4CF1-BEB3-7FF231FE2FF1}" name="客戶確認" dataDxfId="69"/>
    <tableColumn id="17" xr3:uid="{A666F128-E768-4EF7-AA2A-B18DCCB8D79F}" name="價格條件" dataDxfId="68"/>
    <tableColumn id="18" xr3:uid="{AD706ABA-9660-4B41-B6E6-BEBA52D817F2}" name="材積單位" dataDxfId="67"/>
    <tableColumn id="19" xr3:uid="{B92405D2-4FF8-4275-AAE8-98E02D8D336E}" name="付款條件代號" dataDxfId="66"/>
    <tableColumn id="20" xr3:uid="{841F2CBE-7630-46D3-882B-4D81027CE3E9}" name="付款條件名稱" dataDxfId="65"/>
    <tableColumn id="21" xr3:uid="{1488F6B9-EEFC-40BA-AACB-4C30873F82E3}" name="總毛重(Kg)" dataDxfId="64"/>
    <tableColumn id="22" xr3:uid="{94B73C61-3973-4FB6-A66C-05A93A4498FC}" name="總材積" dataDxfId="63"/>
    <tableColumn id="23" xr3:uid="{B952807A-466F-4E30-84A4-03BDEDAAB3F8}" name="品 號 | SKU" dataDxfId="62"/>
    <tableColumn id="24" xr3:uid="{899FB842-CCE6-4931-AFCE-0858AF5C754D}" name="品 名 | Product Name" dataDxfId="61"/>
    <tableColumn id="25" xr3:uid="{91D36B95-5AD7-4E20-AA64-3FC5F7AFD7B8}" name="規 格" dataDxfId="60"/>
    <tableColumn id="26" xr3:uid="{0876670B-94FD-40A8-BE3B-9998CC478D7D}" name="數量" dataDxfId="59"/>
    <tableColumn id="27" xr3:uid="{24223570-1DC4-4BBC-A4E2-B0CF0F9EC949}" name="贈品量" dataDxfId="58"/>
    <tableColumn id="28" xr3:uid="{E0EAEC0E-0CDB-4B8E-B633-4DF371015F17}" name="單位" dataDxfId="57"/>
    <tableColumn id="29" xr3:uid="{6A4E3148-148C-482F-925B-658198E6BD5D}" name="小單位" dataDxfId="56"/>
    <tableColumn id="30" xr3:uid="{E7375DD7-0BB3-4B0F-BD92-8DCBB3BD4372}" name="生效日期" dataDxfId="55"/>
    <tableColumn id="31" xr3:uid="{47925584-7D2B-4FD5-A34A-F70F1B1C8CAD}" name="失效日期" dataDxfId="54"/>
    <tableColumn id="32" xr3:uid="{768C9263-685F-470B-9246-759F83C30B2B}" name="允收效期" dataDxfId="53"/>
    <tableColumn id="33" xr3:uid="{DC300301-9051-4DEC-A3D8-E37A791CC13A}" name="天(月)" dataDxfId="52"/>
    <tableColumn id="34" xr3:uid="{C0E920EC-6AC3-4EE3-882E-273815990D8B}" name="單價" dataDxfId="51"/>
    <tableColumn id="35" xr3:uid="{8CAAEFF7-FFDA-47EC-B097-EDBC8F0E80B7}" name="金額" dataDxfId="50"/>
    <tableColumn id="36" xr3:uid="{B1E520E4-5517-462F-91BD-2F6317581A2B}" name="分量計價" dataDxfId="49"/>
    <tableColumn id="37" xr3:uid="{B6F1D2B4-6C5A-4B82-ADD0-FE8E0EFF7532}" name="付款條件_0LD" dataDxfId="48"/>
    <tableColumn id="38" xr3:uid="{26E6F8A7-E2CC-4B4C-B054-0B4D5D403D0A}" name="包裝方式" dataDxfId="47"/>
    <tableColumn id="39" xr3:uid="{E7D674F4-FBC2-4353-A66C-C7828C3CFCB0}" name="包裝名稱" dataDxfId="46"/>
    <tableColumn id="40" xr3:uid="{D06FE8A9-1C3C-4A54-BF70-E2F7578E693E}" name="毛重(Kg)" dataDxfId="45"/>
    <tableColumn id="41" xr3:uid="{0C17936B-3E1E-4B0E-86EC-FF95B64C6728}" name="品號稅別" dataDxfId="44"/>
    <tableColumn id="42" xr3:uid="{8A2851AE-C1F4-4BDA-926B-454155A87800}" name="材積" dataDxfId="43"/>
    <tableColumn id="43" xr3:uid="{500222A2-F954-47EC-8C08-DF95B60CCD59}" name="應稅品未稅金額" dataDxfId="42"/>
    <tableColumn id="44" xr3:uid="{A9647821-1787-41A2-878B-3BC0F6033197}" name="免稅品金額" dataDxfId="41"/>
    <tableColumn id="45" xr3:uid="{E0CB7DBF-D4C1-42CD-96E3-E382F0D7BA87}" name="標準價" dataDxfId="40">
      <calculatedColumnFormula>VLOOKUP(表格1[[#This Row],[品 號 | SKU]],產品價格表[#All],4,0)</calculatedColumnFormula>
    </tableColumn>
    <tableColumn id="46" xr3:uid="{05CBBB43-6605-4D65-BF0D-4B4810F5CD38}" name="價格判定" dataDxfId="39">
      <calculatedColumnFormula>IF(表格1[[#This Row],[標準價]]=表格1[[#This Row],[單價]],"標準價","特殊價")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528DED-3578-4E59-B457-125C41E1D06B}" name="產品價格表" displayName="產品價格表" ref="A1:G293" totalsRowShown="0" headerRowDxfId="38" dataDxfId="36" headerRowBorderDxfId="37" tableBorderDxfId="35" totalsRowBorderDxfId="34" headerRowCellStyle="一般 2" dataCellStyle="一般 2">
  <autoFilter ref="A1:G293" xr:uid="{0F528DED-3578-4E59-B457-125C41E1D06B}"/>
  <tableColumns count="7">
    <tableColumn id="1" xr3:uid="{17E1120D-4EC0-4E14-8705-66A18F60D5B0}" name="品號 | SKU" dataDxfId="33" dataCellStyle="一般 2"/>
    <tableColumn id="2" xr3:uid="{44DD852B-1BBA-4742-913A-82D19240CF35}" name="品名 | Product Name" dataDxfId="32" dataCellStyle="一般 2"/>
    <tableColumn id="3" xr3:uid="{F53921D1-592D-40E1-AF86-7F767A87239B}" name="備貨型態" dataDxfId="31" dataCellStyle="一般 2"/>
    <tableColumn id="5" xr3:uid="{7AE3A7EB-3E20-4570-BEDE-D6105D7C13A9}" name="標準售價" dataDxfId="30" dataCellStyle="一般 2"/>
    <tableColumn id="6" xr3:uid="{D5B230AA-E7D8-43DD-BF4B-4F212D3DDB26}" name="中盤價" dataDxfId="29" dataCellStyle="一般 2"/>
    <tableColumn id="7" xr3:uid="{4E9884F7-2E76-4E73-BDE1-64B7DC97A5D0}" name="成箱價" dataDxfId="28" dataCellStyle="一般 2"/>
    <tableColumn id="8" xr3:uid="{E9FEFC59-CC4C-428C-8C7E-18CD8BC88C16}" name="員工價" dataDxfId="27" dataCellStyle="一般 2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D0078E-3C34-43B9-AB16-CA24D1A87E44}" name="庫存" displayName="庫存" ref="A1:V217" totalsRowShown="0" headerRowDxfId="26" dataDxfId="24" headerRowBorderDxfId="25">
  <autoFilter ref="A1:V217" xr:uid="{05D0078E-3C34-43B9-AB16-CA24D1A87E44}"/>
  <tableColumns count="22">
    <tableColumn id="1" xr3:uid="{6DA3FB16-40B8-4D8C-8149-613437B38A6D}" name="品號 | SKU" dataDxfId="23"/>
    <tableColumn id="2" xr3:uid="{A59FBBAB-BA9D-4CD5-B89E-38E8D29794E2}" name="品名 | Product Name" dataDxfId="22"/>
    <tableColumn id="3" xr3:uid="{C2205069-1CC3-4F70-A2BF-FDB3AA2BFFBF}" name="規格" dataDxfId="21"/>
    <tableColumn id="4" xr3:uid="{0215DB26-317D-4FD7-A0CC-3DDC1D6C2E1A}" name="單位 | unit" dataDxfId="20"/>
    <tableColumn id="5" xr3:uid="{8C3AD7AE-2571-4565-BCD6-02122AF0D01E}" name="小單位" dataDxfId="19"/>
    <tableColumn id="6" xr3:uid="{D9E05689-373C-4F68-B6CC-D600DC389294}" name="包裝單位" dataDxfId="18"/>
    <tableColumn id="7" xr3:uid="{0ACF9ED9-9B18-42F9-9547-886D1C182140}" name="批號" dataDxfId="17"/>
    <tableColumn id="8" xr3:uid="{85DE061E-9B59-42A4-BECD-4F31A40AA6C9}" name="有效日期" dataDxfId="16"/>
    <tableColumn id="9" xr3:uid="{341CF495-183D-4012-B8CB-A116E669D602}" name="製造日期" dataDxfId="15"/>
    <tableColumn id="10" xr3:uid="{9509C291-0DFC-42C8-8252-5850316EA1E0}" name="結案碼" dataDxfId="14"/>
    <tableColumn id="11" xr3:uid="{222BAA64-4B29-4089-B5F6-799A161FCCD2}" name="庫別" dataDxfId="13"/>
    <tableColumn id="12" xr3:uid="{EDA6DA24-414C-4813-A1E4-ACD6D9307F07}" name="庫別名稱" dataDxfId="12"/>
    <tableColumn id="13" xr3:uid="{FB4918B6-2A0F-42B0-A2C9-02E1EACE06D0}" name="期初庫存" dataDxfId="11"/>
    <tableColumn id="14" xr3:uid="{251AB73D-3270-4FDD-90B4-9475503A3F7A}" name="本期入庫" dataDxfId="10"/>
    <tableColumn id="15" xr3:uid="{158EBFC5-791B-4D5D-AF92-0AA5896264C7}" name="本期出庫" dataDxfId="9"/>
    <tableColumn id="16" xr3:uid="{CD637E13-3AF0-4CCB-BFB7-B53642587EE1}" name="期末庫存" dataDxfId="8"/>
    <tableColumn id="17" xr3:uid="{E46D8DA8-8EAC-45AC-9D14-29D201783104}" name="期初包裝庫存" dataDxfId="7"/>
    <tableColumn id="18" xr3:uid="{D2D0EBFE-87DD-429E-8436-ACCF45596883}" name="本期包裝入庫" dataDxfId="6"/>
    <tableColumn id="19" xr3:uid="{ADE62093-631A-4BF5-A9B5-60A3D5F5C996}" name="本期包裝出庫" dataDxfId="5"/>
    <tableColumn id="20" xr3:uid="{6E4E42AA-3CCB-4932-ABD2-743ADB81F13D}" name="期末包裝庫存" dataDxfId="4"/>
    <tableColumn id="21" xr3:uid="{4466C3B8-E93E-4A5F-B63F-896B04EECFC1}" name="最近入庫日" dataDxfId="3"/>
    <tableColumn id="22" xr3:uid="{3A88D6D1-D4E7-4A35-AFE7-061A6BC56E38}" name="批號最近入庫日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6"/>
  <sheetViews>
    <sheetView tabSelected="1" topLeftCell="H1" zoomScale="70" zoomScaleNormal="70" workbookViewId="0">
      <selection activeCell="AI1" sqref="AI1"/>
    </sheetView>
  </sheetViews>
  <sheetFormatPr defaultColWidth="9.140625" defaultRowHeight="12.75"/>
  <cols>
    <col min="1" max="1" width="33.85546875" bestFit="1" customWidth="1"/>
    <col min="2" max="2" width="38" customWidth="1"/>
    <col min="3" max="3" width="37.85546875" customWidth="1"/>
    <col min="4" max="4" width="44.28515625" bestFit="1" customWidth="1"/>
    <col min="5" max="5" width="37.5703125" bestFit="1" customWidth="1"/>
    <col min="6" max="6" width="14" hidden="1" customWidth="1"/>
    <col min="7" max="7" width="0" hidden="1" customWidth="1"/>
    <col min="8" max="8" width="22.28515625" customWidth="1"/>
    <col min="9" max="9" width="38.5703125" bestFit="1" customWidth="1"/>
    <col min="10" max="10" width="15.7109375"/>
    <col min="11" max="11" width="12.5703125" bestFit="1" customWidth="1"/>
    <col min="12" max="12" width="27" bestFit="1" customWidth="1"/>
    <col min="13" max="13" width="27.140625" bestFit="1" customWidth="1"/>
    <col min="14" max="14" width="0" hidden="1" customWidth="1"/>
    <col min="15" max="16" width="7.28515625" hidden="1" customWidth="1"/>
    <col min="17" max="22" width="0" hidden="1" customWidth="1"/>
    <col min="23" max="23" width="18.140625" bestFit="1" customWidth="1"/>
    <col min="24" max="24" width="50.28515625" bestFit="1" customWidth="1"/>
    <col min="25" max="25" width="35.5703125" customWidth="1"/>
    <col min="26" max="26" width="10" bestFit="1" customWidth="1"/>
    <col min="27" max="27" width="0" hidden="1" customWidth="1"/>
    <col min="28" max="28" width="7.7109375"/>
    <col min="29" max="29" width="12.5703125" bestFit="1" customWidth="1"/>
    <col min="30" max="30" width="16.7109375"/>
    <col min="31" max="32" width="0" hidden="1" customWidth="1"/>
    <col min="33" max="33" width="12" bestFit="1" customWidth="1"/>
    <col min="34" max="35" width="10" bestFit="1" customWidth="1"/>
    <col min="36" max="36" width="12.7109375"/>
    <col min="37" max="44" width="0" hidden="1" customWidth="1"/>
    <col min="45" max="45" width="10" style="1" bestFit="1" customWidth="1"/>
    <col min="46" max="46" width="10.85546875" style="2" customWidth="1"/>
  </cols>
  <sheetData>
    <row r="1" spans="1:46" ht="20.25" thickTop="1" thickBot="1">
      <c r="A1" s="6" t="s">
        <v>1164</v>
      </c>
      <c r="B1" s="6" t="s">
        <v>1165</v>
      </c>
      <c r="C1" s="6" t="s">
        <v>1166</v>
      </c>
      <c r="D1" s="6" t="s">
        <v>1167</v>
      </c>
      <c r="E1" s="6" t="s">
        <v>1168</v>
      </c>
      <c r="F1" s="6" t="s">
        <v>0</v>
      </c>
      <c r="G1" s="6" t="s">
        <v>1</v>
      </c>
      <c r="H1" s="6" t="s">
        <v>1177</v>
      </c>
      <c r="I1" s="6" t="s">
        <v>1169</v>
      </c>
      <c r="J1" s="6" t="s">
        <v>1170</v>
      </c>
      <c r="K1" s="6" t="s">
        <v>1178</v>
      </c>
      <c r="L1" s="6" t="s">
        <v>1163</v>
      </c>
      <c r="M1" s="6" t="s">
        <v>1162</v>
      </c>
      <c r="N1" s="6" t="s">
        <v>2</v>
      </c>
      <c r="O1" s="6" t="s">
        <v>3</v>
      </c>
      <c r="P1" s="6" t="s">
        <v>4</v>
      </c>
      <c r="Q1" s="6" t="s">
        <v>5</v>
      </c>
      <c r="R1" s="6" t="s">
        <v>6</v>
      </c>
      <c r="S1" s="6" t="s">
        <v>7</v>
      </c>
      <c r="T1" s="6" t="s">
        <v>8</v>
      </c>
      <c r="U1" s="6" t="s">
        <v>9</v>
      </c>
      <c r="V1" s="6" t="s">
        <v>10</v>
      </c>
      <c r="W1" s="6" t="s">
        <v>1172</v>
      </c>
      <c r="X1" s="6" t="s">
        <v>1173</v>
      </c>
      <c r="Y1" s="6" t="s">
        <v>1175</v>
      </c>
      <c r="Z1" s="6" t="s">
        <v>11</v>
      </c>
      <c r="AA1" s="6" t="s">
        <v>12</v>
      </c>
      <c r="AB1" s="6" t="s">
        <v>13</v>
      </c>
      <c r="AC1" s="6" t="s">
        <v>14</v>
      </c>
      <c r="AD1" s="6" t="s">
        <v>15</v>
      </c>
      <c r="AE1" s="6" t="s">
        <v>16</v>
      </c>
      <c r="AF1" s="6" t="s">
        <v>17</v>
      </c>
      <c r="AG1" s="6" t="s">
        <v>18</v>
      </c>
      <c r="AH1" s="6" t="s">
        <v>19</v>
      </c>
      <c r="AI1" s="6" t="s">
        <v>20</v>
      </c>
      <c r="AJ1" s="6" t="s">
        <v>21</v>
      </c>
      <c r="AK1" s="6" t="s">
        <v>22</v>
      </c>
      <c r="AL1" s="6" t="s">
        <v>23</v>
      </c>
      <c r="AM1" s="6" t="s">
        <v>24</v>
      </c>
      <c r="AN1" s="6" t="s">
        <v>25</v>
      </c>
      <c r="AO1" s="6" t="s">
        <v>26</v>
      </c>
      <c r="AP1" s="6" t="s">
        <v>27</v>
      </c>
      <c r="AQ1" s="6" t="s">
        <v>28</v>
      </c>
      <c r="AR1" s="6" t="s">
        <v>29</v>
      </c>
      <c r="AS1" s="31" t="s">
        <v>786</v>
      </c>
      <c r="AT1" s="32" t="s">
        <v>787</v>
      </c>
    </row>
    <row r="2" spans="1:46" ht="19.5" thickTop="1">
      <c r="A2" s="7" t="s">
        <v>30</v>
      </c>
      <c r="B2" s="7" t="s">
        <v>31</v>
      </c>
      <c r="C2" s="7" t="s">
        <v>32</v>
      </c>
      <c r="D2" s="7" t="s">
        <v>33</v>
      </c>
      <c r="E2" s="7" t="s">
        <v>30</v>
      </c>
      <c r="F2" s="7"/>
      <c r="G2" s="7" t="s">
        <v>34</v>
      </c>
      <c r="H2" s="8">
        <v>1</v>
      </c>
      <c r="I2" s="8">
        <v>1150</v>
      </c>
      <c r="J2" s="9">
        <v>57.5</v>
      </c>
      <c r="K2" s="8">
        <v>0</v>
      </c>
      <c r="L2" s="7" t="s">
        <v>35</v>
      </c>
      <c r="M2" s="7" t="s">
        <v>36</v>
      </c>
      <c r="N2" s="7" t="s">
        <v>37</v>
      </c>
      <c r="O2" s="7" t="s">
        <v>38</v>
      </c>
      <c r="P2" s="7" t="s">
        <v>38</v>
      </c>
      <c r="Q2" s="7"/>
      <c r="R2" s="7"/>
      <c r="S2" s="7" t="s">
        <v>39</v>
      </c>
      <c r="T2" s="7" t="s">
        <v>40</v>
      </c>
      <c r="U2" s="8">
        <v>0</v>
      </c>
      <c r="V2" s="8">
        <v>0</v>
      </c>
      <c r="W2" s="7" t="s">
        <v>41</v>
      </c>
      <c r="X2" s="7" t="s">
        <v>42</v>
      </c>
      <c r="Y2" s="7" t="s">
        <v>43</v>
      </c>
      <c r="Z2" s="8">
        <v>1</v>
      </c>
      <c r="AA2" s="8">
        <v>0</v>
      </c>
      <c r="AB2" s="7" t="s">
        <v>44</v>
      </c>
      <c r="AC2" s="7"/>
      <c r="AD2" s="7" t="s">
        <v>45</v>
      </c>
      <c r="AE2" s="7"/>
      <c r="AF2" s="7"/>
      <c r="AG2" s="7"/>
      <c r="AH2" s="8">
        <v>1150</v>
      </c>
      <c r="AI2" s="8">
        <v>1150</v>
      </c>
      <c r="AJ2" s="7" t="s">
        <v>46</v>
      </c>
      <c r="AK2" s="7"/>
      <c r="AL2" s="7"/>
      <c r="AM2" s="7"/>
      <c r="AN2" s="8">
        <v>0</v>
      </c>
      <c r="AO2" s="7"/>
      <c r="AP2" s="8">
        <v>0</v>
      </c>
      <c r="AQ2" s="8">
        <v>0</v>
      </c>
      <c r="AR2" s="8">
        <v>0</v>
      </c>
      <c r="AS2" s="10" t="e">
        <f>VLOOKUP(表格1[[#This Row],[品 號 | SKU]],產品價格表[#All],4,0)</f>
        <v>#N/A</v>
      </c>
      <c r="AT2" s="11" t="e">
        <f>IF(表格1[[#This Row],[標準價]]=表格1[[#This Row],[單價]],"標準價","特殊價")</f>
        <v>#N/A</v>
      </c>
    </row>
    <row r="3" spans="1:46" ht="18.75">
      <c r="A3" s="7" t="s">
        <v>47</v>
      </c>
      <c r="B3" s="7" t="s">
        <v>48</v>
      </c>
      <c r="C3" s="7" t="s">
        <v>49</v>
      </c>
      <c r="D3" s="7" t="s">
        <v>50</v>
      </c>
      <c r="E3" s="7" t="s">
        <v>47</v>
      </c>
      <c r="F3" s="7"/>
      <c r="G3" s="7" t="s">
        <v>34</v>
      </c>
      <c r="H3" s="8">
        <v>1</v>
      </c>
      <c r="I3" s="8">
        <v>305</v>
      </c>
      <c r="J3" s="12">
        <v>15.25</v>
      </c>
      <c r="K3" s="8">
        <v>0</v>
      </c>
      <c r="L3" s="7" t="s">
        <v>35</v>
      </c>
      <c r="M3" s="7" t="s">
        <v>51</v>
      </c>
      <c r="N3" s="7" t="s">
        <v>37</v>
      </c>
      <c r="O3" s="7" t="s">
        <v>38</v>
      </c>
      <c r="P3" s="7" t="s">
        <v>38</v>
      </c>
      <c r="Q3" s="7"/>
      <c r="R3" s="7"/>
      <c r="S3" s="7" t="s">
        <v>39</v>
      </c>
      <c r="T3" s="7" t="s">
        <v>40</v>
      </c>
      <c r="U3" s="8">
        <v>0</v>
      </c>
      <c r="V3" s="8">
        <v>0</v>
      </c>
      <c r="W3" s="7" t="s">
        <v>52</v>
      </c>
      <c r="X3" s="7" t="s">
        <v>53</v>
      </c>
      <c r="Y3" s="7" t="s">
        <v>54</v>
      </c>
      <c r="Z3" s="8">
        <v>1</v>
      </c>
      <c r="AA3" s="8">
        <v>0</v>
      </c>
      <c r="AB3" s="7" t="s">
        <v>55</v>
      </c>
      <c r="AC3" s="7"/>
      <c r="AD3" s="7" t="s">
        <v>47</v>
      </c>
      <c r="AE3" s="7"/>
      <c r="AF3" s="7"/>
      <c r="AG3" s="7"/>
      <c r="AH3" s="8">
        <v>305</v>
      </c>
      <c r="AI3" s="8">
        <v>305</v>
      </c>
      <c r="AJ3" s="7" t="s">
        <v>46</v>
      </c>
      <c r="AK3" s="7"/>
      <c r="AL3" s="7"/>
      <c r="AM3" s="7"/>
      <c r="AN3" s="8">
        <v>0</v>
      </c>
      <c r="AO3" s="7"/>
      <c r="AP3" s="8">
        <v>0</v>
      </c>
      <c r="AQ3" s="8">
        <v>0</v>
      </c>
      <c r="AR3" s="8">
        <v>0</v>
      </c>
      <c r="AS3" s="10" t="e">
        <f>VLOOKUP(表格1[[#This Row],[品 號 | SKU]],產品價格表[#All],4,0)</f>
        <v>#N/A</v>
      </c>
      <c r="AT3" s="11" t="e">
        <f>IF(表格1[[#This Row],[標準價]]=表格1[[#This Row],[單價]],"標準價","特殊價")</f>
        <v>#N/A</v>
      </c>
    </row>
    <row r="4" spans="1:46" ht="18.75">
      <c r="A4" s="7"/>
      <c r="B4" s="7" t="s">
        <v>56</v>
      </c>
      <c r="C4" s="7" t="s">
        <v>57</v>
      </c>
      <c r="D4" s="7" t="s">
        <v>58</v>
      </c>
      <c r="E4" s="7" t="s">
        <v>47</v>
      </c>
      <c r="F4" s="7"/>
      <c r="G4" s="7" t="s">
        <v>34</v>
      </c>
      <c r="H4" s="8">
        <v>1</v>
      </c>
      <c r="I4" s="8">
        <v>901230</v>
      </c>
      <c r="J4" s="9">
        <v>45061.5</v>
      </c>
      <c r="K4" s="8">
        <v>0</v>
      </c>
      <c r="L4" s="7" t="s">
        <v>35</v>
      </c>
      <c r="M4" s="7" t="s">
        <v>59</v>
      </c>
      <c r="N4" s="7" t="s">
        <v>37</v>
      </c>
      <c r="O4" s="7" t="s">
        <v>38</v>
      </c>
      <c r="P4" s="7" t="s">
        <v>38</v>
      </c>
      <c r="Q4" s="7"/>
      <c r="R4" s="7"/>
      <c r="S4" s="7" t="s">
        <v>39</v>
      </c>
      <c r="T4" s="7" t="s">
        <v>40</v>
      </c>
      <c r="U4" s="8">
        <v>0</v>
      </c>
      <c r="V4" s="8">
        <v>0</v>
      </c>
      <c r="W4" s="7" t="s">
        <v>60</v>
      </c>
      <c r="X4" s="7" t="s">
        <v>61</v>
      </c>
      <c r="Y4" s="7" t="s">
        <v>62</v>
      </c>
      <c r="Z4" s="8">
        <v>1</v>
      </c>
      <c r="AA4" s="8">
        <v>0</v>
      </c>
      <c r="AB4" s="7" t="s">
        <v>63</v>
      </c>
      <c r="AC4" s="7"/>
      <c r="AD4" s="7" t="s">
        <v>45</v>
      </c>
      <c r="AE4" s="7"/>
      <c r="AF4" s="7"/>
      <c r="AG4" s="7"/>
      <c r="AH4" s="8">
        <v>1230</v>
      </c>
      <c r="AI4" s="8">
        <v>1230</v>
      </c>
      <c r="AJ4" s="7" t="s">
        <v>46</v>
      </c>
      <c r="AK4" s="7"/>
      <c r="AL4" s="7"/>
      <c r="AM4" s="7"/>
      <c r="AN4" s="8">
        <v>0</v>
      </c>
      <c r="AO4" s="7"/>
      <c r="AP4" s="8">
        <v>0</v>
      </c>
      <c r="AQ4" s="8">
        <v>0</v>
      </c>
      <c r="AR4" s="8">
        <v>0</v>
      </c>
      <c r="AS4" s="10" t="e">
        <f>VLOOKUP(表格1[[#This Row],[品 號 | SKU]],產品價格表[#All],4,0)</f>
        <v>#N/A</v>
      </c>
      <c r="AT4" s="11" t="e">
        <f>IF(表格1[[#This Row],[標準價]]=表格1[[#This Row],[單價]],"標準價","特殊價")</f>
        <v>#N/A</v>
      </c>
    </row>
    <row r="5" spans="1:46" ht="18.7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 t="s">
        <v>60</v>
      </c>
      <c r="X5" s="7" t="s">
        <v>61</v>
      </c>
      <c r="Y5" s="7" t="s">
        <v>62</v>
      </c>
      <c r="Z5" s="8">
        <v>750</v>
      </c>
      <c r="AA5" s="8">
        <v>0</v>
      </c>
      <c r="AB5" s="7" t="s">
        <v>63</v>
      </c>
      <c r="AC5" s="7"/>
      <c r="AD5" s="7" t="s">
        <v>45</v>
      </c>
      <c r="AE5" s="7"/>
      <c r="AF5" s="7"/>
      <c r="AG5" s="7"/>
      <c r="AH5" s="8">
        <v>1200</v>
      </c>
      <c r="AI5" s="8">
        <v>1200</v>
      </c>
      <c r="AJ5" s="7" t="s">
        <v>38</v>
      </c>
      <c r="AK5" s="7"/>
      <c r="AL5" s="7"/>
      <c r="AM5" s="7"/>
      <c r="AN5" s="8">
        <v>0</v>
      </c>
      <c r="AO5" s="7"/>
      <c r="AP5" s="8">
        <v>0</v>
      </c>
      <c r="AQ5" s="7"/>
      <c r="AR5" s="7"/>
      <c r="AS5" s="10" t="e">
        <f>VLOOKUP(表格1[[#This Row],[品 號 | SKU]],產品價格表[#All],4,0)</f>
        <v>#N/A</v>
      </c>
      <c r="AT5" s="11" t="e">
        <f>IF(表格1[[#This Row],[標準價]]=表格1[[#This Row],[單價]],"標準價","特殊價")</f>
        <v>#N/A</v>
      </c>
    </row>
    <row r="6" spans="1:46" ht="18.75">
      <c r="A6" s="7"/>
      <c r="B6" s="7" t="s">
        <v>64</v>
      </c>
      <c r="C6" s="7" t="s">
        <v>65</v>
      </c>
      <c r="D6" s="7" t="s">
        <v>66</v>
      </c>
      <c r="E6" s="7" t="s">
        <v>47</v>
      </c>
      <c r="F6" s="7"/>
      <c r="G6" s="7" t="s">
        <v>34</v>
      </c>
      <c r="H6" s="8">
        <v>1</v>
      </c>
      <c r="I6" s="8">
        <v>1600</v>
      </c>
      <c r="J6" s="8">
        <v>80</v>
      </c>
      <c r="K6" s="8">
        <v>0</v>
      </c>
      <c r="L6" s="7" t="s">
        <v>35</v>
      </c>
      <c r="M6" s="7" t="s">
        <v>67</v>
      </c>
      <c r="N6" s="7" t="s">
        <v>37</v>
      </c>
      <c r="O6" s="7" t="s">
        <v>38</v>
      </c>
      <c r="P6" s="7" t="s">
        <v>38</v>
      </c>
      <c r="Q6" s="7"/>
      <c r="R6" s="7"/>
      <c r="S6" s="7" t="s">
        <v>39</v>
      </c>
      <c r="T6" s="7" t="s">
        <v>40</v>
      </c>
      <c r="U6" s="8">
        <v>0</v>
      </c>
      <c r="V6" s="8">
        <v>0</v>
      </c>
      <c r="W6" s="7" t="s">
        <v>68</v>
      </c>
      <c r="X6" s="7" t="s">
        <v>69</v>
      </c>
      <c r="Y6" s="7" t="s">
        <v>70</v>
      </c>
      <c r="Z6" s="8">
        <v>1</v>
      </c>
      <c r="AA6" s="8">
        <v>0</v>
      </c>
      <c r="AB6" s="7" t="s">
        <v>71</v>
      </c>
      <c r="AC6" s="7"/>
      <c r="AD6" s="7" t="s">
        <v>47</v>
      </c>
      <c r="AE6" s="7"/>
      <c r="AF6" s="7"/>
      <c r="AG6" s="7"/>
      <c r="AH6" s="8">
        <v>1600</v>
      </c>
      <c r="AI6" s="8">
        <v>1600</v>
      </c>
      <c r="AJ6" s="7" t="s">
        <v>46</v>
      </c>
      <c r="AK6" s="7"/>
      <c r="AL6" s="7"/>
      <c r="AM6" s="7"/>
      <c r="AN6" s="8">
        <v>0</v>
      </c>
      <c r="AO6" s="7"/>
      <c r="AP6" s="8">
        <v>0</v>
      </c>
      <c r="AQ6" s="8">
        <v>0</v>
      </c>
      <c r="AR6" s="8">
        <v>0</v>
      </c>
      <c r="AS6" s="10">
        <f>VLOOKUP(表格1[[#This Row],[品 號 | SKU]],產品價格表[#All],4,0)</f>
        <v>1750</v>
      </c>
      <c r="AT6" s="11" t="str">
        <f>IF(表格1[[#This Row],[標準價]]=表格1[[#This Row],[單價]],"標準價","特殊價")</f>
        <v>特殊價</v>
      </c>
    </row>
    <row r="7" spans="1:46" ht="18.75">
      <c r="A7" s="7"/>
      <c r="B7" s="7" t="s">
        <v>72</v>
      </c>
      <c r="C7" s="7" t="s">
        <v>73</v>
      </c>
      <c r="D7" s="7" t="s">
        <v>74</v>
      </c>
      <c r="E7" s="7" t="s">
        <v>47</v>
      </c>
      <c r="F7" s="7"/>
      <c r="G7" s="7" t="s">
        <v>34</v>
      </c>
      <c r="H7" s="8">
        <v>1</v>
      </c>
      <c r="I7" s="8">
        <v>4190</v>
      </c>
      <c r="J7" s="9">
        <v>209.5</v>
      </c>
      <c r="K7" s="8">
        <v>0</v>
      </c>
      <c r="L7" s="7" t="s">
        <v>35</v>
      </c>
      <c r="M7" s="7" t="s">
        <v>75</v>
      </c>
      <c r="N7" s="7" t="s">
        <v>37</v>
      </c>
      <c r="O7" s="7" t="s">
        <v>38</v>
      </c>
      <c r="P7" s="7" t="s">
        <v>38</v>
      </c>
      <c r="Q7" s="7"/>
      <c r="R7" s="7"/>
      <c r="S7" s="7" t="s">
        <v>76</v>
      </c>
      <c r="T7" s="7" t="s">
        <v>77</v>
      </c>
      <c r="U7" s="8">
        <v>0</v>
      </c>
      <c r="V7" s="8">
        <v>0</v>
      </c>
      <c r="W7" s="7" t="s">
        <v>78</v>
      </c>
      <c r="X7" s="7" t="s">
        <v>79</v>
      </c>
      <c r="Y7" s="7" t="s">
        <v>80</v>
      </c>
      <c r="Z7" s="8">
        <v>1</v>
      </c>
      <c r="AA7" s="8">
        <v>0</v>
      </c>
      <c r="AB7" s="7" t="s">
        <v>71</v>
      </c>
      <c r="AC7" s="7"/>
      <c r="AD7" s="7" t="s">
        <v>47</v>
      </c>
      <c r="AE7" s="7"/>
      <c r="AF7" s="7"/>
      <c r="AG7" s="7"/>
      <c r="AH7" s="8">
        <v>2000</v>
      </c>
      <c r="AI7" s="8">
        <v>2000</v>
      </c>
      <c r="AJ7" s="7" t="s">
        <v>46</v>
      </c>
      <c r="AK7" s="7"/>
      <c r="AL7" s="7"/>
      <c r="AM7" s="7"/>
      <c r="AN7" s="8">
        <v>0</v>
      </c>
      <c r="AO7" s="7"/>
      <c r="AP7" s="8">
        <v>0</v>
      </c>
      <c r="AQ7" s="8">
        <v>0</v>
      </c>
      <c r="AR7" s="8">
        <v>0</v>
      </c>
      <c r="AS7" s="10" t="e">
        <f>VLOOKUP(表格1[[#This Row],[品 號 | SKU]],產品價格表[#All],4,0)</f>
        <v>#N/A</v>
      </c>
      <c r="AT7" s="11" t="e">
        <f>IF(表格1[[#This Row],[標準價]]=表格1[[#This Row],[單價]],"標準價","特殊價")</f>
        <v>#N/A</v>
      </c>
    </row>
    <row r="8" spans="1:46" ht="18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 t="s">
        <v>81</v>
      </c>
      <c r="X8" s="7" t="s">
        <v>82</v>
      </c>
      <c r="Y8" s="7" t="s">
        <v>83</v>
      </c>
      <c r="Z8" s="8">
        <v>1</v>
      </c>
      <c r="AA8" s="8">
        <v>0</v>
      </c>
      <c r="AB8" s="7" t="s">
        <v>71</v>
      </c>
      <c r="AC8" s="7"/>
      <c r="AD8" s="7" t="s">
        <v>47</v>
      </c>
      <c r="AE8" s="7"/>
      <c r="AF8" s="7"/>
      <c r="AG8" s="7"/>
      <c r="AH8" s="8">
        <v>90</v>
      </c>
      <c r="AI8" s="8">
        <v>90</v>
      </c>
      <c r="AJ8" s="7" t="s">
        <v>46</v>
      </c>
      <c r="AK8" s="7"/>
      <c r="AL8" s="7"/>
      <c r="AM8" s="7"/>
      <c r="AN8" s="8">
        <v>0</v>
      </c>
      <c r="AO8" s="7"/>
      <c r="AP8" s="8">
        <v>0</v>
      </c>
      <c r="AQ8" s="7"/>
      <c r="AR8" s="7"/>
      <c r="AS8" s="10" t="e">
        <f>VLOOKUP(表格1[[#This Row],[品 號 | SKU]],產品價格表[#All],4,0)</f>
        <v>#N/A</v>
      </c>
      <c r="AT8" s="11" t="e">
        <f>IF(表格1[[#This Row],[標準價]]=表格1[[#This Row],[單價]],"標準價","特殊價")</f>
        <v>#N/A</v>
      </c>
    </row>
    <row r="9" spans="1:46" ht="18.7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 t="s">
        <v>84</v>
      </c>
      <c r="X9" s="7" t="s">
        <v>85</v>
      </c>
      <c r="Y9" s="7" t="s">
        <v>80</v>
      </c>
      <c r="Z9" s="8">
        <v>1</v>
      </c>
      <c r="AA9" s="8">
        <v>0</v>
      </c>
      <c r="AB9" s="7" t="s">
        <v>71</v>
      </c>
      <c r="AC9" s="7"/>
      <c r="AD9" s="7" t="s">
        <v>47</v>
      </c>
      <c r="AE9" s="7"/>
      <c r="AF9" s="7"/>
      <c r="AG9" s="7"/>
      <c r="AH9" s="8">
        <v>2100</v>
      </c>
      <c r="AI9" s="8">
        <v>2100</v>
      </c>
      <c r="AJ9" s="7" t="s">
        <v>46</v>
      </c>
      <c r="AK9" s="7"/>
      <c r="AL9" s="7"/>
      <c r="AM9" s="7"/>
      <c r="AN9" s="8">
        <v>0</v>
      </c>
      <c r="AO9" s="7"/>
      <c r="AP9" s="8">
        <v>0</v>
      </c>
      <c r="AQ9" s="7"/>
      <c r="AR9" s="7"/>
      <c r="AS9" s="10" t="e">
        <f>VLOOKUP(表格1[[#This Row],[品 號 | SKU]],產品價格表[#All],4,0)</f>
        <v>#N/A</v>
      </c>
      <c r="AT9" s="11" t="e">
        <f>IF(表格1[[#This Row],[標準價]]=表格1[[#This Row],[單價]],"標準價","特殊價")</f>
        <v>#N/A</v>
      </c>
    </row>
    <row r="10" spans="1:46" ht="18.75">
      <c r="A10" s="7"/>
      <c r="B10" s="7" t="s">
        <v>86</v>
      </c>
      <c r="C10" s="7" t="s">
        <v>87</v>
      </c>
      <c r="D10" s="7" t="s">
        <v>88</v>
      </c>
      <c r="E10" s="7" t="s">
        <v>47</v>
      </c>
      <c r="F10" s="7"/>
      <c r="G10" s="7" t="s">
        <v>34</v>
      </c>
      <c r="H10" s="8">
        <v>1</v>
      </c>
      <c r="I10" s="8">
        <v>380</v>
      </c>
      <c r="J10" s="8">
        <v>19</v>
      </c>
      <c r="K10" s="8">
        <v>0</v>
      </c>
      <c r="L10" s="7" t="s">
        <v>35</v>
      </c>
      <c r="M10" s="7" t="s">
        <v>89</v>
      </c>
      <c r="N10" s="7" t="s">
        <v>37</v>
      </c>
      <c r="O10" s="7" t="s">
        <v>38</v>
      </c>
      <c r="P10" s="7" t="s">
        <v>38</v>
      </c>
      <c r="Q10" s="7"/>
      <c r="R10" s="7"/>
      <c r="S10" s="7" t="s">
        <v>76</v>
      </c>
      <c r="T10" s="7" t="s">
        <v>77</v>
      </c>
      <c r="U10" s="8">
        <v>0</v>
      </c>
      <c r="V10" s="8">
        <v>0</v>
      </c>
      <c r="W10" s="7" t="s">
        <v>90</v>
      </c>
      <c r="X10" s="7" t="s">
        <v>91</v>
      </c>
      <c r="Y10" s="7" t="s">
        <v>92</v>
      </c>
      <c r="Z10" s="8">
        <v>1</v>
      </c>
      <c r="AA10" s="8">
        <v>0</v>
      </c>
      <c r="AB10" s="7" t="s">
        <v>63</v>
      </c>
      <c r="AC10" s="7"/>
      <c r="AD10" s="7" t="s">
        <v>47</v>
      </c>
      <c r="AE10" s="7"/>
      <c r="AF10" s="7"/>
      <c r="AG10" s="7"/>
      <c r="AH10" s="8">
        <v>380</v>
      </c>
      <c r="AI10" s="8">
        <v>380</v>
      </c>
      <c r="AJ10" s="7" t="s">
        <v>46</v>
      </c>
      <c r="AK10" s="7"/>
      <c r="AL10" s="7"/>
      <c r="AM10" s="7"/>
      <c r="AN10" s="8">
        <v>0</v>
      </c>
      <c r="AO10" s="7"/>
      <c r="AP10" s="8">
        <v>0</v>
      </c>
      <c r="AQ10" s="8">
        <v>0</v>
      </c>
      <c r="AR10" s="8">
        <v>0</v>
      </c>
      <c r="AS10" s="10" t="e">
        <f>VLOOKUP(表格1[[#This Row],[品 號 | SKU]],產品價格表[#All],4,0)</f>
        <v>#N/A</v>
      </c>
      <c r="AT10" s="11" t="e">
        <f>IF(表格1[[#This Row],[標準價]]=表格1[[#This Row],[單價]],"標準價","特殊價")</f>
        <v>#N/A</v>
      </c>
    </row>
    <row r="11" spans="1:46" ht="18.75">
      <c r="A11" s="7"/>
      <c r="B11" s="7" t="s">
        <v>93</v>
      </c>
      <c r="C11" s="7" t="s">
        <v>94</v>
      </c>
      <c r="D11" s="7" t="s">
        <v>95</v>
      </c>
      <c r="E11" s="7" t="s">
        <v>47</v>
      </c>
      <c r="F11" s="7"/>
      <c r="G11" s="7" t="s">
        <v>34</v>
      </c>
      <c r="H11" s="8">
        <v>1</v>
      </c>
      <c r="I11" s="8">
        <v>380</v>
      </c>
      <c r="J11" s="8">
        <v>19</v>
      </c>
      <c r="K11" s="8">
        <v>0</v>
      </c>
      <c r="L11" s="7" t="s">
        <v>35</v>
      </c>
      <c r="M11" s="7" t="s">
        <v>89</v>
      </c>
      <c r="N11" s="7" t="s">
        <v>37</v>
      </c>
      <c r="O11" s="7" t="s">
        <v>38</v>
      </c>
      <c r="P11" s="7" t="s">
        <v>38</v>
      </c>
      <c r="Q11" s="7"/>
      <c r="R11" s="7"/>
      <c r="S11" s="7" t="s">
        <v>76</v>
      </c>
      <c r="T11" s="7" t="s">
        <v>77</v>
      </c>
      <c r="U11" s="8">
        <v>0</v>
      </c>
      <c r="V11" s="8">
        <v>0</v>
      </c>
      <c r="W11" s="7" t="s">
        <v>90</v>
      </c>
      <c r="X11" s="7" t="s">
        <v>91</v>
      </c>
      <c r="Y11" s="7" t="s">
        <v>92</v>
      </c>
      <c r="Z11" s="8">
        <v>1</v>
      </c>
      <c r="AA11" s="8">
        <v>0</v>
      </c>
      <c r="AB11" s="7" t="s">
        <v>63</v>
      </c>
      <c r="AC11" s="7"/>
      <c r="AD11" s="7" t="s">
        <v>47</v>
      </c>
      <c r="AE11" s="7"/>
      <c r="AF11" s="7"/>
      <c r="AG11" s="7"/>
      <c r="AH11" s="8">
        <v>380</v>
      </c>
      <c r="AI11" s="8">
        <v>380</v>
      </c>
      <c r="AJ11" s="7" t="s">
        <v>46</v>
      </c>
      <c r="AK11" s="7"/>
      <c r="AL11" s="7"/>
      <c r="AM11" s="7"/>
      <c r="AN11" s="8">
        <v>0</v>
      </c>
      <c r="AO11" s="7"/>
      <c r="AP11" s="8">
        <v>0</v>
      </c>
      <c r="AQ11" s="8">
        <v>0</v>
      </c>
      <c r="AR11" s="8">
        <v>0</v>
      </c>
      <c r="AS11" s="10" t="e">
        <f>VLOOKUP(表格1[[#This Row],[品 號 | SKU]],產品價格表[#All],4,0)</f>
        <v>#N/A</v>
      </c>
      <c r="AT11" s="11" t="e">
        <f>IF(表格1[[#This Row],[標準價]]=表格1[[#This Row],[單價]],"標準價","特殊價")</f>
        <v>#N/A</v>
      </c>
    </row>
    <row r="12" spans="1:46" ht="18.75">
      <c r="A12" s="7"/>
      <c r="B12" s="7" t="s">
        <v>96</v>
      </c>
      <c r="C12" s="7" t="s">
        <v>97</v>
      </c>
      <c r="D12" s="7" t="s">
        <v>98</v>
      </c>
      <c r="E12" s="7" t="s">
        <v>47</v>
      </c>
      <c r="F12" s="7"/>
      <c r="G12" s="7" t="s">
        <v>34</v>
      </c>
      <c r="H12" s="8">
        <v>1</v>
      </c>
      <c r="I12" s="8">
        <v>380</v>
      </c>
      <c r="J12" s="8">
        <v>19</v>
      </c>
      <c r="K12" s="8">
        <v>0</v>
      </c>
      <c r="L12" s="7" t="s">
        <v>35</v>
      </c>
      <c r="M12" s="7" t="s">
        <v>89</v>
      </c>
      <c r="N12" s="7" t="s">
        <v>37</v>
      </c>
      <c r="O12" s="7" t="s">
        <v>38</v>
      </c>
      <c r="P12" s="7" t="s">
        <v>38</v>
      </c>
      <c r="Q12" s="7"/>
      <c r="R12" s="7"/>
      <c r="S12" s="7" t="s">
        <v>76</v>
      </c>
      <c r="T12" s="7" t="s">
        <v>77</v>
      </c>
      <c r="U12" s="8">
        <v>0</v>
      </c>
      <c r="V12" s="8">
        <v>0</v>
      </c>
      <c r="W12" s="7" t="s">
        <v>90</v>
      </c>
      <c r="X12" s="7" t="s">
        <v>91</v>
      </c>
      <c r="Y12" s="7" t="s">
        <v>92</v>
      </c>
      <c r="Z12" s="8">
        <v>1</v>
      </c>
      <c r="AA12" s="8">
        <v>0</v>
      </c>
      <c r="AB12" s="7" t="s">
        <v>63</v>
      </c>
      <c r="AC12" s="7"/>
      <c r="AD12" s="7" t="s">
        <v>47</v>
      </c>
      <c r="AE12" s="7"/>
      <c r="AF12" s="7"/>
      <c r="AG12" s="7"/>
      <c r="AH12" s="8">
        <v>380</v>
      </c>
      <c r="AI12" s="8">
        <v>380</v>
      </c>
      <c r="AJ12" s="7" t="s">
        <v>46</v>
      </c>
      <c r="AK12" s="7"/>
      <c r="AL12" s="7"/>
      <c r="AM12" s="7"/>
      <c r="AN12" s="8">
        <v>0</v>
      </c>
      <c r="AO12" s="7"/>
      <c r="AP12" s="8">
        <v>0</v>
      </c>
      <c r="AQ12" s="8">
        <v>0</v>
      </c>
      <c r="AR12" s="8">
        <v>0</v>
      </c>
      <c r="AS12" s="10" t="e">
        <f>VLOOKUP(表格1[[#This Row],[品 號 | SKU]],產品價格表[#All],4,0)</f>
        <v>#N/A</v>
      </c>
      <c r="AT12" s="11" t="e">
        <f>IF(表格1[[#This Row],[標準價]]=表格1[[#This Row],[單價]],"標準價","特殊價")</f>
        <v>#N/A</v>
      </c>
    </row>
    <row r="13" spans="1:46" ht="18.75">
      <c r="A13" s="7"/>
      <c r="B13" s="7" t="s">
        <v>99</v>
      </c>
      <c r="C13" s="7" t="s">
        <v>100</v>
      </c>
      <c r="D13" s="7" t="s">
        <v>101</v>
      </c>
      <c r="E13" s="7" t="s">
        <v>47</v>
      </c>
      <c r="F13" s="7"/>
      <c r="G13" s="7" t="s">
        <v>34</v>
      </c>
      <c r="H13" s="8">
        <v>1</v>
      </c>
      <c r="I13" s="8">
        <v>380</v>
      </c>
      <c r="J13" s="8">
        <v>19</v>
      </c>
      <c r="K13" s="8">
        <v>0</v>
      </c>
      <c r="L13" s="7" t="s">
        <v>35</v>
      </c>
      <c r="M13" s="7" t="s">
        <v>89</v>
      </c>
      <c r="N13" s="7" t="s">
        <v>37</v>
      </c>
      <c r="O13" s="7" t="s">
        <v>38</v>
      </c>
      <c r="P13" s="7" t="s">
        <v>38</v>
      </c>
      <c r="Q13" s="7"/>
      <c r="R13" s="7"/>
      <c r="S13" s="7" t="s">
        <v>76</v>
      </c>
      <c r="T13" s="7" t="s">
        <v>77</v>
      </c>
      <c r="U13" s="8">
        <v>0</v>
      </c>
      <c r="V13" s="8">
        <v>0</v>
      </c>
      <c r="W13" s="7" t="s">
        <v>90</v>
      </c>
      <c r="X13" s="7" t="s">
        <v>91</v>
      </c>
      <c r="Y13" s="7" t="s">
        <v>92</v>
      </c>
      <c r="Z13" s="8">
        <v>1</v>
      </c>
      <c r="AA13" s="8">
        <v>0</v>
      </c>
      <c r="AB13" s="7" t="s">
        <v>63</v>
      </c>
      <c r="AC13" s="7"/>
      <c r="AD13" s="7" t="s">
        <v>47</v>
      </c>
      <c r="AE13" s="7"/>
      <c r="AF13" s="7"/>
      <c r="AG13" s="7"/>
      <c r="AH13" s="8">
        <v>380</v>
      </c>
      <c r="AI13" s="8">
        <v>380</v>
      </c>
      <c r="AJ13" s="7" t="s">
        <v>46</v>
      </c>
      <c r="AK13" s="7"/>
      <c r="AL13" s="7"/>
      <c r="AM13" s="7"/>
      <c r="AN13" s="8">
        <v>0</v>
      </c>
      <c r="AO13" s="7"/>
      <c r="AP13" s="8">
        <v>0</v>
      </c>
      <c r="AQ13" s="8">
        <v>0</v>
      </c>
      <c r="AR13" s="8">
        <v>0</v>
      </c>
      <c r="AS13" s="10" t="e">
        <f>VLOOKUP(表格1[[#This Row],[品 號 | SKU]],產品價格表[#All],4,0)</f>
        <v>#N/A</v>
      </c>
      <c r="AT13" s="11" t="e">
        <f>IF(表格1[[#This Row],[標準價]]=表格1[[#This Row],[單價]],"標準價","特殊價")</f>
        <v>#N/A</v>
      </c>
    </row>
    <row r="14" spans="1:46" ht="18.75">
      <c r="A14" s="7"/>
      <c r="B14" s="7" t="s">
        <v>102</v>
      </c>
      <c r="C14" s="7" t="s">
        <v>103</v>
      </c>
      <c r="D14" s="7" t="s">
        <v>104</v>
      </c>
      <c r="E14" s="7" t="s">
        <v>47</v>
      </c>
      <c r="F14" s="7"/>
      <c r="G14" s="7" t="s">
        <v>34</v>
      </c>
      <c r="H14" s="8">
        <v>1</v>
      </c>
      <c r="I14" s="8">
        <v>380</v>
      </c>
      <c r="J14" s="8">
        <v>19</v>
      </c>
      <c r="K14" s="8">
        <v>0</v>
      </c>
      <c r="L14" s="7" t="s">
        <v>35</v>
      </c>
      <c r="M14" s="7" t="s">
        <v>89</v>
      </c>
      <c r="N14" s="7" t="s">
        <v>37</v>
      </c>
      <c r="O14" s="7" t="s">
        <v>38</v>
      </c>
      <c r="P14" s="7" t="s">
        <v>38</v>
      </c>
      <c r="Q14" s="7"/>
      <c r="R14" s="7"/>
      <c r="S14" s="7" t="s">
        <v>76</v>
      </c>
      <c r="T14" s="7" t="s">
        <v>77</v>
      </c>
      <c r="U14" s="8">
        <v>0</v>
      </c>
      <c r="V14" s="8">
        <v>0</v>
      </c>
      <c r="W14" s="7" t="s">
        <v>90</v>
      </c>
      <c r="X14" s="7" t="s">
        <v>91</v>
      </c>
      <c r="Y14" s="7" t="s">
        <v>92</v>
      </c>
      <c r="Z14" s="8">
        <v>1</v>
      </c>
      <c r="AA14" s="8">
        <v>0</v>
      </c>
      <c r="AB14" s="7" t="s">
        <v>63</v>
      </c>
      <c r="AC14" s="7"/>
      <c r="AD14" s="7" t="s">
        <v>47</v>
      </c>
      <c r="AE14" s="7"/>
      <c r="AF14" s="7"/>
      <c r="AG14" s="7"/>
      <c r="AH14" s="8">
        <v>380</v>
      </c>
      <c r="AI14" s="8">
        <v>380</v>
      </c>
      <c r="AJ14" s="7" t="s">
        <v>46</v>
      </c>
      <c r="AK14" s="7"/>
      <c r="AL14" s="7"/>
      <c r="AM14" s="7"/>
      <c r="AN14" s="8">
        <v>0</v>
      </c>
      <c r="AO14" s="7"/>
      <c r="AP14" s="8">
        <v>0</v>
      </c>
      <c r="AQ14" s="8">
        <v>0</v>
      </c>
      <c r="AR14" s="8">
        <v>0</v>
      </c>
      <c r="AS14" s="10" t="e">
        <f>VLOOKUP(表格1[[#This Row],[品 號 | SKU]],產品價格表[#All],4,0)</f>
        <v>#N/A</v>
      </c>
      <c r="AT14" s="11" t="e">
        <f>IF(表格1[[#This Row],[標準價]]=表格1[[#This Row],[單價]],"標準價","特殊價")</f>
        <v>#N/A</v>
      </c>
    </row>
    <row r="15" spans="1:46" ht="18.75">
      <c r="A15" s="7"/>
      <c r="B15" s="7" t="s">
        <v>105</v>
      </c>
      <c r="C15" s="7" t="s">
        <v>106</v>
      </c>
      <c r="D15" s="7" t="s">
        <v>107</v>
      </c>
      <c r="E15" s="7" t="s">
        <v>47</v>
      </c>
      <c r="F15" s="7"/>
      <c r="G15" s="7" t="s">
        <v>34</v>
      </c>
      <c r="H15" s="8">
        <v>1</v>
      </c>
      <c r="I15" s="8">
        <v>380</v>
      </c>
      <c r="J15" s="8">
        <v>19</v>
      </c>
      <c r="K15" s="8">
        <v>0</v>
      </c>
      <c r="L15" s="7" t="s">
        <v>35</v>
      </c>
      <c r="M15" s="7" t="s">
        <v>89</v>
      </c>
      <c r="N15" s="7" t="s">
        <v>37</v>
      </c>
      <c r="O15" s="7" t="s">
        <v>38</v>
      </c>
      <c r="P15" s="7" t="s">
        <v>38</v>
      </c>
      <c r="Q15" s="7"/>
      <c r="R15" s="7"/>
      <c r="S15" s="7" t="s">
        <v>76</v>
      </c>
      <c r="T15" s="7" t="s">
        <v>77</v>
      </c>
      <c r="U15" s="8">
        <v>0</v>
      </c>
      <c r="V15" s="8">
        <v>0</v>
      </c>
      <c r="W15" s="7" t="s">
        <v>90</v>
      </c>
      <c r="X15" s="7" t="s">
        <v>91</v>
      </c>
      <c r="Y15" s="7" t="s">
        <v>92</v>
      </c>
      <c r="Z15" s="8">
        <v>1</v>
      </c>
      <c r="AA15" s="8">
        <v>0</v>
      </c>
      <c r="AB15" s="7" t="s">
        <v>63</v>
      </c>
      <c r="AC15" s="7"/>
      <c r="AD15" s="7" t="s">
        <v>47</v>
      </c>
      <c r="AE15" s="7"/>
      <c r="AF15" s="7"/>
      <c r="AG15" s="7"/>
      <c r="AH15" s="8">
        <v>380</v>
      </c>
      <c r="AI15" s="8">
        <v>380</v>
      </c>
      <c r="AJ15" s="7" t="s">
        <v>46</v>
      </c>
      <c r="AK15" s="7"/>
      <c r="AL15" s="7"/>
      <c r="AM15" s="7"/>
      <c r="AN15" s="8">
        <v>0</v>
      </c>
      <c r="AO15" s="7"/>
      <c r="AP15" s="8">
        <v>0</v>
      </c>
      <c r="AQ15" s="8">
        <v>0</v>
      </c>
      <c r="AR15" s="8">
        <v>0</v>
      </c>
      <c r="AS15" s="10" t="e">
        <f>VLOOKUP(表格1[[#This Row],[品 號 | SKU]],產品價格表[#All],4,0)</f>
        <v>#N/A</v>
      </c>
      <c r="AT15" s="11" t="e">
        <f>IF(表格1[[#This Row],[標準價]]=表格1[[#This Row],[單價]],"標準價","特殊價")</f>
        <v>#N/A</v>
      </c>
    </row>
    <row r="16" spans="1:46" ht="18.75">
      <c r="A16" s="7"/>
      <c r="B16" s="7" t="s">
        <v>108</v>
      </c>
      <c r="C16" s="7" t="s">
        <v>109</v>
      </c>
      <c r="D16" s="7" t="s">
        <v>110</v>
      </c>
      <c r="E16" s="7" t="s">
        <v>47</v>
      </c>
      <c r="F16" s="7"/>
      <c r="G16" s="7" t="s">
        <v>34</v>
      </c>
      <c r="H16" s="8">
        <v>1</v>
      </c>
      <c r="I16" s="8">
        <v>380</v>
      </c>
      <c r="J16" s="8">
        <v>19</v>
      </c>
      <c r="K16" s="8">
        <v>0</v>
      </c>
      <c r="L16" s="7" t="s">
        <v>35</v>
      </c>
      <c r="M16" s="7" t="s">
        <v>89</v>
      </c>
      <c r="N16" s="7" t="s">
        <v>37</v>
      </c>
      <c r="O16" s="7" t="s">
        <v>38</v>
      </c>
      <c r="P16" s="7" t="s">
        <v>38</v>
      </c>
      <c r="Q16" s="7"/>
      <c r="R16" s="7"/>
      <c r="S16" s="7" t="s">
        <v>76</v>
      </c>
      <c r="T16" s="7" t="s">
        <v>77</v>
      </c>
      <c r="U16" s="8">
        <v>0</v>
      </c>
      <c r="V16" s="8">
        <v>0</v>
      </c>
      <c r="W16" s="7" t="s">
        <v>90</v>
      </c>
      <c r="X16" s="7" t="s">
        <v>91</v>
      </c>
      <c r="Y16" s="7" t="s">
        <v>92</v>
      </c>
      <c r="Z16" s="8">
        <v>1</v>
      </c>
      <c r="AA16" s="8">
        <v>0</v>
      </c>
      <c r="AB16" s="7" t="s">
        <v>63</v>
      </c>
      <c r="AC16" s="7"/>
      <c r="AD16" s="7" t="s">
        <v>47</v>
      </c>
      <c r="AE16" s="7"/>
      <c r="AF16" s="7"/>
      <c r="AG16" s="7"/>
      <c r="AH16" s="8">
        <v>380</v>
      </c>
      <c r="AI16" s="8">
        <v>380</v>
      </c>
      <c r="AJ16" s="7" t="s">
        <v>46</v>
      </c>
      <c r="AK16" s="7"/>
      <c r="AL16" s="7"/>
      <c r="AM16" s="7"/>
      <c r="AN16" s="8">
        <v>0</v>
      </c>
      <c r="AO16" s="7"/>
      <c r="AP16" s="8">
        <v>0</v>
      </c>
      <c r="AQ16" s="8">
        <v>0</v>
      </c>
      <c r="AR16" s="8">
        <v>0</v>
      </c>
      <c r="AS16" s="10" t="e">
        <f>VLOOKUP(表格1[[#This Row],[品 號 | SKU]],產品價格表[#All],4,0)</f>
        <v>#N/A</v>
      </c>
      <c r="AT16" s="11" t="e">
        <f>IF(表格1[[#This Row],[標準價]]=表格1[[#This Row],[單價]],"標準價","特殊價")</f>
        <v>#N/A</v>
      </c>
    </row>
    <row r="17" spans="1:46" ht="18.75">
      <c r="A17" s="7"/>
      <c r="B17" s="7" t="s">
        <v>111</v>
      </c>
      <c r="C17" s="7" t="s">
        <v>112</v>
      </c>
      <c r="D17" s="7" t="s">
        <v>113</v>
      </c>
      <c r="E17" s="7" t="s">
        <v>47</v>
      </c>
      <c r="F17" s="7"/>
      <c r="G17" s="7" t="s">
        <v>34</v>
      </c>
      <c r="H17" s="8">
        <v>1</v>
      </c>
      <c r="I17" s="8">
        <v>380</v>
      </c>
      <c r="J17" s="8">
        <v>19</v>
      </c>
      <c r="K17" s="8">
        <v>0</v>
      </c>
      <c r="L17" s="7" t="s">
        <v>35</v>
      </c>
      <c r="M17" s="7" t="s">
        <v>89</v>
      </c>
      <c r="N17" s="7" t="s">
        <v>37</v>
      </c>
      <c r="O17" s="7" t="s">
        <v>38</v>
      </c>
      <c r="P17" s="7" t="s">
        <v>38</v>
      </c>
      <c r="Q17" s="7"/>
      <c r="R17" s="7"/>
      <c r="S17" s="7" t="s">
        <v>76</v>
      </c>
      <c r="T17" s="7" t="s">
        <v>77</v>
      </c>
      <c r="U17" s="8">
        <v>0</v>
      </c>
      <c r="V17" s="8">
        <v>0</v>
      </c>
      <c r="W17" s="7" t="s">
        <v>90</v>
      </c>
      <c r="X17" s="7" t="s">
        <v>91</v>
      </c>
      <c r="Y17" s="7" t="s">
        <v>92</v>
      </c>
      <c r="Z17" s="8">
        <v>1</v>
      </c>
      <c r="AA17" s="8">
        <v>0</v>
      </c>
      <c r="AB17" s="7" t="s">
        <v>63</v>
      </c>
      <c r="AC17" s="7"/>
      <c r="AD17" s="7" t="s">
        <v>47</v>
      </c>
      <c r="AE17" s="7"/>
      <c r="AF17" s="7"/>
      <c r="AG17" s="7"/>
      <c r="AH17" s="8">
        <v>380</v>
      </c>
      <c r="AI17" s="8">
        <v>380</v>
      </c>
      <c r="AJ17" s="7" t="s">
        <v>46</v>
      </c>
      <c r="AK17" s="7"/>
      <c r="AL17" s="7"/>
      <c r="AM17" s="7"/>
      <c r="AN17" s="8">
        <v>0</v>
      </c>
      <c r="AO17" s="7"/>
      <c r="AP17" s="8">
        <v>0</v>
      </c>
      <c r="AQ17" s="8">
        <v>0</v>
      </c>
      <c r="AR17" s="8">
        <v>0</v>
      </c>
      <c r="AS17" s="10" t="e">
        <f>VLOOKUP(表格1[[#This Row],[品 號 | SKU]],產品價格表[#All],4,0)</f>
        <v>#N/A</v>
      </c>
      <c r="AT17" s="11" t="e">
        <f>IF(表格1[[#This Row],[標準價]]=表格1[[#This Row],[單價]],"標準價","特殊價")</f>
        <v>#N/A</v>
      </c>
    </row>
    <row r="18" spans="1:46" ht="18.75">
      <c r="A18" s="7"/>
      <c r="B18" s="7" t="s">
        <v>114</v>
      </c>
      <c r="C18" s="7" t="s">
        <v>115</v>
      </c>
      <c r="D18" s="7" t="s">
        <v>116</v>
      </c>
      <c r="E18" s="7" t="s">
        <v>47</v>
      </c>
      <c r="F18" s="7"/>
      <c r="G18" s="7" t="s">
        <v>34</v>
      </c>
      <c r="H18" s="8">
        <v>1</v>
      </c>
      <c r="I18" s="8">
        <v>380</v>
      </c>
      <c r="J18" s="8">
        <v>19</v>
      </c>
      <c r="K18" s="8">
        <v>0</v>
      </c>
      <c r="L18" s="7" t="s">
        <v>35</v>
      </c>
      <c r="M18" s="7" t="s">
        <v>89</v>
      </c>
      <c r="N18" s="7" t="s">
        <v>37</v>
      </c>
      <c r="O18" s="7" t="s">
        <v>38</v>
      </c>
      <c r="P18" s="7" t="s">
        <v>38</v>
      </c>
      <c r="Q18" s="7"/>
      <c r="R18" s="7"/>
      <c r="S18" s="7" t="s">
        <v>76</v>
      </c>
      <c r="T18" s="7" t="s">
        <v>77</v>
      </c>
      <c r="U18" s="8">
        <v>0</v>
      </c>
      <c r="V18" s="8">
        <v>0</v>
      </c>
      <c r="W18" s="7" t="s">
        <v>90</v>
      </c>
      <c r="X18" s="7" t="s">
        <v>91</v>
      </c>
      <c r="Y18" s="7" t="s">
        <v>92</v>
      </c>
      <c r="Z18" s="8">
        <v>1</v>
      </c>
      <c r="AA18" s="8">
        <v>0</v>
      </c>
      <c r="AB18" s="7" t="s">
        <v>63</v>
      </c>
      <c r="AC18" s="7"/>
      <c r="AD18" s="7" t="s">
        <v>47</v>
      </c>
      <c r="AE18" s="7"/>
      <c r="AF18" s="7"/>
      <c r="AG18" s="7"/>
      <c r="AH18" s="8">
        <v>380</v>
      </c>
      <c r="AI18" s="8">
        <v>380</v>
      </c>
      <c r="AJ18" s="7" t="s">
        <v>46</v>
      </c>
      <c r="AK18" s="7"/>
      <c r="AL18" s="7"/>
      <c r="AM18" s="7"/>
      <c r="AN18" s="8">
        <v>0</v>
      </c>
      <c r="AO18" s="7"/>
      <c r="AP18" s="8">
        <v>0</v>
      </c>
      <c r="AQ18" s="8">
        <v>0</v>
      </c>
      <c r="AR18" s="8">
        <v>0</v>
      </c>
      <c r="AS18" s="10" t="e">
        <f>VLOOKUP(表格1[[#This Row],[品 號 | SKU]],產品價格表[#All],4,0)</f>
        <v>#N/A</v>
      </c>
      <c r="AT18" s="11" t="e">
        <f>IF(表格1[[#This Row],[標準價]]=表格1[[#This Row],[單價]],"標準價","特殊價")</f>
        <v>#N/A</v>
      </c>
    </row>
    <row r="19" spans="1:46" ht="18.75">
      <c r="A19" s="7"/>
      <c r="B19" s="7" t="s">
        <v>117</v>
      </c>
      <c r="C19" s="7" t="s">
        <v>118</v>
      </c>
      <c r="D19" s="7" t="s">
        <v>119</v>
      </c>
      <c r="E19" s="7" t="s">
        <v>47</v>
      </c>
      <c r="F19" s="7"/>
      <c r="G19" s="7" t="s">
        <v>34</v>
      </c>
      <c r="H19" s="8">
        <v>1</v>
      </c>
      <c r="I19" s="8">
        <v>1600</v>
      </c>
      <c r="J19" s="8">
        <v>80</v>
      </c>
      <c r="K19" s="8">
        <v>0</v>
      </c>
      <c r="L19" s="7" t="s">
        <v>35</v>
      </c>
      <c r="M19" s="7" t="s">
        <v>67</v>
      </c>
      <c r="N19" s="7" t="s">
        <v>37</v>
      </c>
      <c r="O19" s="7" t="s">
        <v>38</v>
      </c>
      <c r="P19" s="7" t="s">
        <v>38</v>
      </c>
      <c r="Q19" s="7"/>
      <c r="R19" s="7"/>
      <c r="S19" s="7" t="s">
        <v>39</v>
      </c>
      <c r="T19" s="7" t="s">
        <v>40</v>
      </c>
      <c r="U19" s="8">
        <v>0</v>
      </c>
      <c r="V19" s="8">
        <v>0</v>
      </c>
      <c r="W19" s="7" t="s">
        <v>68</v>
      </c>
      <c r="X19" s="7" t="s">
        <v>69</v>
      </c>
      <c r="Y19" s="7" t="s">
        <v>70</v>
      </c>
      <c r="Z19" s="8">
        <v>1</v>
      </c>
      <c r="AA19" s="8">
        <v>0</v>
      </c>
      <c r="AB19" s="7" t="s">
        <v>71</v>
      </c>
      <c r="AC19" s="7"/>
      <c r="AD19" s="7" t="s">
        <v>47</v>
      </c>
      <c r="AE19" s="7"/>
      <c r="AF19" s="7"/>
      <c r="AG19" s="7"/>
      <c r="AH19" s="8">
        <v>1600</v>
      </c>
      <c r="AI19" s="8">
        <v>1600</v>
      </c>
      <c r="AJ19" s="7" t="s">
        <v>46</v>
      </c>
      <c r="AK19" s="7"/>
      <c r="AL19" s="7"/>
      <c r="AM19" s="7"/>
      <c r="AN19" s="8">
        <v>0</v>
      </c>
      <c r="AO19" s="7"/>
      <c r="AP19" s="8">
        <v>0</v>
      </c>
      <c r="AQ19" s="8">
        <v>0</v>
      </c>
      <c r="AR19" s="8">
        <v>0</v>
      </c>
      <c r="AS19" s="10">
        <f>VLOOKUP(表格1[[#This Row],[品 號 | SKU]],產品價格表[#All],4,0)</f>
        <v>1750</v>
      </c>
      <c r="AT19" s="11" t="str">
        <f>IF(表格1[[#This Row],[標準價]]=表格1[[#This Row],[單價]],"標準價","特殊價")</f>
        <v>特殊價</v>
      </c>
    </row>
    <row r="20" spans="1:46" ht="18.75">
      <c r="A20" s="7"/>
      <c r="B20" s="7" t="s">
        <v>120</v>
      </c>
      <c r="C20" s="7" t="s">
        <v>121</v>
      </c>
      <c r="D20" s="7" t="s">
        <v>122</v>
      </c>
      <c r="E20" s="7" t="s">
        <v>47</v>
      </c>
      <c r="F20" s="7"/>
      <c r="G20" s="7" t="s">
        <v>34</v>
      </c>
      <c r="H20" s="8">
        <v>1</v>
      </c>
      <c r="I20" s="8">
        <v>10900</v>
      </c>
      <c r="J20" s="8">
        <v>545</v>
      </c>
      <c r="K20" s="8">
        <v>0</v>
      </c>
      <c r="L20" s="7" t="s">
        <v>35</v>
      </c>
      <c r="M20" s="7" t="s">
        <v>67</v>
      </c>
      <c r="N20" s="7" t="s">
        <v>37</v>
      </c>
      <c r="O20" s="7" t="s">
        <v>38</v>
      </c>
      <c r="P20" s="7" t="s">
        <v>38</v>
      </c>
      <c r="Q20" s="7"/>
      <c r="R20" s="7"/>
      <c r="S20" s="7" t="s">
        <v>123</v>
      </c>
      <c r="T20" s="7" t="s">
        <v>124</v>
      </c>
      <c r="U20" s="8">
        <v>0</v>
      </c>
      <c r="V20" s="8">
        <v>0</v>
      </c>
      <c r="W20" s="7" t="s">
        <v>125</v>
      </c>
      <c r="X20" s="7" t="s">
        <v>126</v>
      </c>
      <c r="Y20" s="7" t="s">
        <v>127</v>
      </c>
      <c r="Z20" s="8">
        <v>1</v>
      </c>
      <c r="AA20" s="8">
        <v>0</v>
      </c>
      <c r="AB20" s="7" t="s">
        <v>128</v>
      </c>
      <c r="AC20" s="7"/>
      <c r="AD20" s="7" t="s">
        <v>45</v>
      </c>
      <c r="AE20" s="7"/>
      <c r="AF20" s="7"/>
      <c r="AG20" s="7"/>
      <c r="AH20" s="8">
        <v>5900</v>
      </c>
      <c r="AI20" s="8">
        <v>5900</v>
      </c>
      <c r="AJ20" s="7" t="s">
        <v>46</v>
      </c>
      <c r="AK20" s="7"/>
      <c r="AL20" s="7"/>
      <c r="AM20" s="7"/>
      <c r="AN20" s="8">
        <v>0</v>
      </c>
      <c r="AO20" s="7"/>
      <c r="AP20" s="8">
        <v>0</v>
      </c>
      <c r="AQ20" s="8">
        <v>0</v>
      </c>
      <c r="AR20" s="8">
        <v>0</v>
      </c>
      <c r="AS20" s="10" t="e">
        <f>VLOOKUP(表格1[[#This Row],[品 號 | SKU]],產品價格表[#All],4,0)</f>
        <v>#N/A</v>
      </c>
      <c r="AT20" s="11" t="e">
        <f>IF(表格1[[#This Row],[標準價]]=表格1[[#This Row],[單價]],"標準價","特殊價")</f>
        <v>#N/A</v>
      </c>
    </row>
    <row r="21" spans="1:46" ht="18.7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 t="s">
        <v>125</v>
      </c>
      <c r="X21" s="7" t="s">
        <v>126</v>
      </c>
      <c r="Y21" s="7" t="s">
        <v>127</v>
      </c>
      <c r="Z21" s="8">
        <v>1</v>
      </c>
      <c r="AA21" s="8">
        <v>0</v>
      </c>
      <c r="AB21" s="7" t="s">
        <v>128</v>
      </c>
      <c r="AC21" s="7"/>
      <c r="AD21" s="7" t="s">
        <v>30</v>
      </c>
      <c r="AE21" s="7"/>
      <c r="AF21" s="7"/>
      <c r="AG21" s="7"/>
      <c r="AH21" s="8">
        <v>5000</v>
      </c>
      <c r="AI21" s="8">
        <v>5000</v>
      </c>
      <c r="AJ21" s="7" t="s">
        <v>46</v>
      </c>
      <c r="AK21" s="7"/>
      <c r="AL21" s="7"/>
      <c r="AM21" s="7"/>
      <c r="AN21" s="8">
        <v>0</v>
      </c>
      <c r="AO21" s="7"/>
      <c r="AP21" s="8">
        <v>0</v>
      </c>
      <c r="AQ21" s="7"/>
      <c r="AR21" s="7"/>
      <c r="AS21" s="10" t="e">
        <f>VLOOKUP(表格1[[#This Row],[品 號 | SKU]],產品價格表[#All],4,0)</f>
        <v>#N/A</v>
      </c>
      <c r="AT21" s="11" t="e">
        <f>IF(表格1[[#This Row],[標準價]]=表格1[[#This Row],[單價]],"標準價","特殊價")</f>
        <v>#N/A</v>
      </c>
    </row>
    <row r="22" spans="1:46" ht="18.75">
      <c r="A22" s="7" t="s">
        <v>129</v>
      </c>
      <c r="B22" s="7" t="s">
        <v>130</v>
      </c>
      <c r="C22" s="7" t="s">
        <v>131</v>
      </c>
      <c r="D22" s="7" t="s">
        <v>132</v>
      </c>
      <c r="E22" s="7" t="s">
        <v>129</v>
      </c>
      <c r="F22" s="7"/>
      <c r="G22" s="7" t="s">
        <v>34</v>
      </c>
      <c r="H22" s="8">
        <v>1</v>
      </c>
      <c r="I22" s="8">
        <v>2093</v>
      </c>
      <c r="J22" s="12">
        <v>104.65</v>
      </c>
      <c r="K22" s="8">
        <v>0</v>
      </c>
      <c r="L22" s="7" t="s">
        <v>35</v>
      </c>
      <c r="M22" s="7" t="s">
        <v>133</v>
      </c>
      <c r="N22" s="7" t="s">
        <v>37</v>
      </c>
      <c r="O22" s="7" t="s">
        <v>38</v>
      </c>
      <c r="P22" s="7" t="s">
        <v>38</v>
      </c>
      <c r="Q22" s="7"/>
      <c r="R22" s="7"/>
      <c r="S22" s="7" t="s">
        <v>39</v>
      </c>
      <c r="T22" s="7" t="s">
        <v>40</v>
      </c>
      <c r="U22" s="8">
        <v>0</v>
      </c>
      <c r="V22" s="8">
        <v>0</v>
      </c>
      <c r="W22" s="7" t="s">
        <v>134</v>
      </c>
      <c r="X22" s="7" t="s">
        <v>135</v>
      </c>
      <c r="Y22" s="7" t="s">
        <v>70</v>
      </c>
      <c r="Z22" s="8">
        <v>1</v>
      </c>
      <c r="AA22" s="8">
        <v>0</v>
      </c>
      <c r="AB22" s="7" t="s">
        <v>71</v>
      </c>
      <c r="AC22" s="7"/>
      <c r="AD22" s="7" t="s">
        <v>136</v>
      </c>
      <c r="AE22" s="7"/>
      <c r="AF22" s="7"/>
      <c r="AG22" s="7"/>
      <c r="AH22" s="8">
        <v>2093</v>
      </c>
      <c r="AI22" s="8">
        <v>2093</v>
      </c>
      <c r="AJ22" s="7" t="s">
        <v>46</v>
      </c>
      <c r="AK22" s="7"/>
      <c r="AL22" s="7"/>
      <c r="AM22" s="7"/>
      <c r="AN22" s="8">
        <v>0</v>
      </c>
      <c r="AO22" s="7"/>
      <c r="AP22" s="8">
        <v>0</v>
      </c>
      <c r="AQ22" s="8">
        <v>0</v>
      </c>
      <c r="AR22" s="8">
        <v>0</v>
      </c>
      <c r="AS22" s="10">
        <f>VLOOKUP(表格1[[#This Row],[品 號 | SKU]],產品價格表[#All],4,0)</f>
        <v>1950</v>
      </c>
      <c r="AT22" s="11" t="str">
        <f>IF(表格1[[#This Row],[標準價]]=表格1[[#This Row],[單價]],"標準價","特殊價")</f>
        <v>特殊價</v>
      </c>
    </row>
    <row r="23" spans="1:46" ht="18.75">
      <c r="A23" s="7"/>
      <c r="B23" s="7" t="s">
        <v>137</v>
      </c>
      <c r="C23" s="7" t="s">
        <v>138</v>
      </c>
      <c r="D23" s="7" t="s">
        <v>139</v>
      </c>
      <c r="E23" s="7" t="s">
        <v>129</v>
      </c>
      <c r="F23" s="7"/>
      <c r="G23" s="7" t="s">
        <v>34</v>
      </c>
      <c r="H23" s="8">
        <v>1</v>
      </c>
      <c r="I23" s="8">
        <v>2855</v>
      </c>
      <c r="J23" s="12">
        <v>142.75</v>
      </c>
      <c r="K23" s="8">
        <v>0</v>
      </c>
      <c r="L23" s="7" t="s">
        <v>35</v>
      </c>
      <c r="M23" s="7" t="s">
        <v>133</v>
      </c>
      <c r="N23" s="7" t="s">
        <v>37</v>
      </c>
      <c r="O23" s="7" t="s">
        <v>38</v>
      </c>
      <c r="P23" s="7" t="s">
        <v>38</v>
      </c>
      <c r="Q23" s="7"/>
      <c r="R23" s="7"/>
      <c r="S23" s="7" t="s">
        <v>140</v>
      </c>
      <c r="T23" s="7" t="s">
        <v>141</v>
      </c>
      <c r="U23" s="8">
        <v>0</v>
      </c>
      <c r="V23" s="8">
        <v>0</v>
      </c>
      <c r="W23" s="7" t="s">
        <v>142</v>
      </c>
      <c r="X23" s="7" t="s">
        <v>143</v>
      </c>
      <c r="Y23" s="7" t="s">
        <v>92</v>
      </c>
      <c r="Z23" s="8">
        <v>1</v>
      </c>
      <c r="AA23" s="8">
        <v>0</v>
      </c>
      <c r="AB23" s="7" t="s">
        <v>63</v>
      </c>
      <c r="AC23" s="7"/>
      <c r="AD23" s="7" t="s">
        <v>47</v>
      </c>
      <c r="AE23" s="7"/>
      <c r="AF23" s="7"/>
      <c r="AG23" s="7"/>
      <c r="AH23" s="8">
        <v>480</v>
      </c>
      <c r="AI23" s="8">
        <v>480</v>
      </c>
      <c r="AJ23" s="7" t="s">
        <v>46</v>
      </c>
      <c r="AK23" s="7"/>
      <c r="AL23" s="7"/>
      <c r="AM23" s="7"/>
      <c r="AN23" s="8">
        <v>0</v>
      </c>
      <c r="AO23" s="7"/>
      <c r="AP23" s="8">
        <v>0</v>
      </c>
      <c r="AQ23" s="8">
        <v>0</v>
      </c>
      <c r="AR23" s="8">
        <v>0</v>
      </c>
      <c r="AS23" s="10" t="e">
        <f>VLOOKUP(表格1[[#This Row],[品 號 | SKU]],產品價格表[#All],4,0)</f>
        <v>#N/A</v>
      </c>
      <c r="AT23" s="11" t="e">
        <f>IF(表格1[[#This Row],[標準價]]=表格1[[#This Row],[單價]],"標準價","特殊價")</f>
        <v>#N/A</v>
      </c>
    </row>
    <row r="24" spans="1:46" ht="18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 t="s">
        <v>142</v>
      </c>
      <c r="X24" s="7" t="s">
        <v>143</v>
      </c>
      <c r="Y24" s="7" t="s">
        <v>92</v>
      </c>
      <c r="Z24" s="8">
        <v>5</v>
      </c>
      <c r="AA24" s="8">
        <v>0</v>
      </c>
      <c r="AB24" s="7" t="s">
        <v>63</v>
      </c>
      <c r="AC24" s="7"/>
      <c r="AD24" s="7" t="s">
        <v>47</v>
      </c>
      <c r="AE24" s="7"/>
      <c r="AF24" s="7"/>
      <c r="AG24" s="7"/>
      <c r="AH24" s="8">
        <v>475</v>
      </c>
      <c r="AI24" s="8">
        <v>475</v>
      </c>
      <c r="AJ24" s="7" t="s">
        <v>38</v>
      </c>
      <c r="AK24" s="7"/>
      <c r="AL24" s="7"/>
      <c r="AM24" s="7"/>
      <c r="AN24" s="8">
        <v>0</v>
      </c>
      <c r="AO24" s="7"/>
      <c r="AP24" s="8">
        <v>0</v>
      </c>
      <c r="AQ24" s="7"/>
      <c r="AR24" s="7"/>
      <c r="AS24" s="10" t="e">
        <f>VLOOKUP(表格1[[#This Row],[品 號 | SKU]],產品價格表[#All],4,0)</f>
        <v>#N/A</v>
      </c>
      <c r="AT24" s="11" t="e">
        <f>IF(表格1[[#This Row],[標準價]]=表格1[[#This Row],[單價]],"標準價","特殊價")</f>
        <v>#N/A</v>
      </c>
    </row>
    <row r="25" spans="1:46" ht="18.75">
      <c r="A25" s="7"/>
      <c r="B25" s="7" t="s">
        <v>144</v>
      </c>
      <c r="C25" s="7" t="s">
        <v>145</v>
      </c>
      <c r="D25" s="7" t="s">
        <v>146</v>
      </c>
      <c r="E25" s="7" t="s">
        <v>129</v>
      </c>
      <c r="F25" s="7"/>
      <c r="G25" s="7" t="s">
        <v>34</v>
      </c>
      <c r="H25" s="8">
        <v>1</v>
      </c>
      <c r="I25" s="8">
        <v>2093</v>
      </c>
      <c r="J25" s="12">
        <v>104.65</v>
      </c>
      <c r="K25" s="8">
        <v>0</v>
      </c>
      <c r="L25" s="7" t="s">
        <v>35</v>
      </c>
      <c r="M25" s="7" t="s">
        <v>133</v>
      </c>
      <c r="N25" s="7" t="s">
        <v>37</v>
      </c>
      <c r="O25" s="7" t="s">
        <v>38</v>
      </c>
      <c r="P25" s="7" t="s">
        <v>38</v>
      </c>
      <c r="Q25" s="7"/>
      <c r="R25" s="7"/>
      <c r="S25" s="7" t="s">
        <v>39</v>
      </c>
      <c r="T25" s="7" t="s">
        <v>40</v>
      </c>
      <c r="U25" s="8">
        <v>0</v>
      </c>
      <c r="V25" s="8">
        <v>0</v>
      </c>
      <c r="W25" s="7" t="s">
        <v>134</v>
      </c>
      <c r="X25" s="7" t="s">
        <v>135</v>
      </c>
      <c r="Y25" s="7" t="s">
        <v>70</v>
      </c>
      <c r="Z25" s="8">
        <v>1</v>
      </c>
      <c r="AA25" s="8">
        <v>0</v>
      </c>
      <c r="AB25" s="7" t="s">
        <v>71</v>
      </c>
      <c r="AC25" s="7"/>
      <c r="AD25" s="7" t="s">
        <v>136</v>
      </c>
      <c r="AE25" s="7"/>
      <c r="AF25" s="7"/>
      <c r="AG25" s="7"/>
      <c r="AH25" s="8">
        <v>2093</v>
      </c>
      <c r="AI25" s="8">
        <v>2093</v>
      </c>
      <c r="AJ25" s="7" t="s">
        <v>46</v>
      </c>
      <c r="AK25" s="7"/>
      <c r="AL25" s="7"/>
      <c r="AM25" s="7"/>
      <c r="AN25" s="8">
        <v>0</v>
      </c>
      <c r="AO25" s="7"/>
      <c r="AP25" s="8">
        <v>0</v>
      </c>
      <c r="AQ25" s="8">
        <v>0</v>
      </c>
      <c r="AR25" s="8">
        <v>0</v>
      </c>
      <c r="AS25" s="10">
        <f>VLOOKUP(表格1[[#This Row],[品 號 | SKU]],產品價格表[#All],4,0)</f>
        <v>1950</v>
      </c>
      <c r="AT25" s="11" t="str">
        <f>IF(表格1[[#This Row],[標準價]]=表格1[[#This Row],[單價]],"標準價","特殊價")</f>
        <v>特殊價</v>
      </c>
    </row>
    <row r="26" spans="1:46" ht="18.75">
      <c r="A26" s="7"/>
      <c r="B26" s="7" t="s">
        <v>147</v>
      </c>
      <c r="C26" s="7" t="s">
        <v>148</v>
      </c>
      <c r="D26" s="7" t="s">
        <v>149</v>
      </c>
      <c r="E26" s="7" t="s">
        <v>129</v>
      </c>
      <c r="F26" s="7"/>
      <c r="G26" s="7" t="s">
        <v>34</v>
      </c>
      <c r="H26" s="8">
        <v>1</v>
      </c>
      <c r="I26" s="8">
        <v>2093</v>
      </c>
      <c r="J26" s="12">
        <v>104.65</v>
      </c>
      <c r="K26" s="8">
        <v>0</v>
      </c>
      <c r="L26" s="7" t="s">
        <v>35</v>
      </c>
      <c r="M26" s="7" t="s">
        <v>133</v>
      </c>
      <c r="N26" s="7" t="s">
        <v>37</v>
      </c>
      <c r="O26" s="7" t="s">
        <v>38</v>
      </c>
      <c r="P26" s="7" t="s">
        <v>38</v>
      </c>
      <c r="Q26" s="7"/>
      <c r="R26" s="7"/>
      <c r="S26" s="7" t="s">
        <v>39</v>
      </c>
      <c r="T26" s="7" t="s">
        <v>40</v>
      </c>
      <c r="U26" s="8">
        <v>0</v>
      </c>
      <c r="V26" s="8">
        <v>0</v>
      </c>
      <c r="W26" s="7" t="s">
        <v>134</v>
      </c>
      <c r="X26" s="7" t="s">
        <v>135</v>
      </c>
      <c r="Y26" s="7" t="s">
        <v>70</v>
      </c>
      <c r="Z26" s="8">
        <v>1</v>
      </c>
      <c r="AA26" s="8">
        <v>0</v>
      </c>
      <c r="AB26" s="7" t="s">
        <v>71</v>
      </c>
      <c r="AC26" s="7"/>
      <c r="AD26" s="7" t="s">
        <v>136</v>
      </c>
      <c r="AE26" s="7"/>
      <c r="AF26" s="7"/>
      <c r="AG26" s="7"/>
      <c r="AH26" s="8">
        <v>2093</v>
      </c>
      <c r="AI26" s="8">
        <v>2093</v>
      </c>
      <c r="AJ26" s="7" t="s">
        <v>46</v>
      </c>
      <c r="AK26" s="7"/>
      <c r="AL26" s="7"/>
      <c r="AM26" s="7"/>
      <c r="AN26" s="8">
        <v>0</v>
      </c>
      <c r="AO26" s="7"/>
      <c r="AP26" s="8">
        <v>0</v>
      </c>
      <c r="AQ26" s="8">
        <v>0</v>
      </c>
      <c r="AR26" s="8">
        <v>0</v>
      </c>
      <c r="AS26" s="10">
        <f>VLOOKUP(表格1[[#This Row],[品 號 | SKU]],產品價格表[#All],4,0)</f>
        <v>1950</v>
      </c>
      <c r="AT26" s="11" t="str">
        <f>IF(表格1[[#This Row],[標準價]]=表格1[[#This Row],[單價]],"標準價","特殊價")</f>
        <v>特殊價</v>
      </c>
    </row>
    <row r="27" spans="1:46" ht="18.75">
      <c r="A27" s="7"/>
      <c r="B27" s="7" t="s">
        <v>150</v>
      </c>
      <c r="C27" s="7" t="s">
        <v>151</v>
      </c>
      <c r="D27" s="7" t="s">
        <v>152</v>
      </c>
      <c r="E27" s="7" t="s">
        <v>129</v>
      </c>
      <c r="F27" s="7"/>
      <c r="G27" s="7" t="s">
        <v>34</v>
      </c>
      <c r="H27" s="8">
        <v>1</v>
      </c>
      <c r="I27" s="8">
        <v>2093</v>
      </c>
      <c r="J27" s="12">
        <v>104.65</v>
      </c>
      <c r="K27" s="8">
        <v>0</v>
      </c>
      <c r="L27" s="7" t="s">
        <v>35</v>
      </c>
      <c r="M27" s="7" t="s">
        <v>133</v>
      </c>
      <c r="N27" s="7" t="s">
        <v>37</v>
      </c>
      <c r="O27" s="7" t="s">
        <v>38</v>
      </c>
      <c r="P27" s="7" t="s">
        <v>38</v>
      </c>
      <c r="Q27" s="7"/>
      <c r="R27" s="7"/>
      <c r="S27" s="7" t="s">
        <v>39</v>
      </c>
      <c r="T27" s="7" t="s">
        <v>40</v>
      </c>
      <c r="U27" s="8">
        <v>0</v>
      </c>
      <c r="V27" s="8">
        <v>0</v>
      </c>
      <c r="W27" s="7" t="s">
        <v>134</v>
      </c>
      <c r="X27" s="7" t="s">
        <v>135</v>
      </c>
      <c r="Y27" s="7" t="s">
        <v>70</v>
      </c>
      <c r="Z27" s="8">
        <v>1</v>
      </c>
      <c r="AA27" s="8">
        <v>0</v>
      </c>
      <c r="AB27" s="7" t="s">
        <v>71</v>
      </c>
      <c r="AC27" s="7"/>
      <c r="AD27" s="7" t="s">
        <v>136</v>
      </c>
      <c r="AE27" s="7"/>
      <c r="AF27" s="7"/>
      <c r="AG27" s="7"/>
      <c r="AH27" s="8">
        <v>2093</v>
      </c>
      <c r="AI27" s="8">
        <v>2093</v>
      </c>
      <c r="AJ27" s="7" t="s">
        <v>46</v>
      </c>
      <c r="AK27" s="7"/>
      <c r="AL27" s="7"/>
      <c r="AM27" s="7"/>
      <c r="AN27" s="8">
        <v>0</v>
      </c>
      <c r="AO27" s="7"/>
      <c r="AP27" s="8">
        <v>0</v>
      </c>
      <c r="AQ27" s="8">
        <v>0</v>
      </c>
      <c r="AR27" s="8">
        <v>0</v>
      </c>
      <c r="AS27" s="10">
        <f>VLOOKUP(表格1[[#This Row],[品 號 | SKU]],產品價格表[#All],4,0)</f>
        <v>1950</v>
      </c>
      <c r="AT27" s="11" t="str">
        <f>IF(表格1[[#This Row],[標準價]]=表格1[[#This Row],[單價]],"標準價","特殊價")</f>
        <v>特殊價</v>
      </c>
    </row>
    <row r="28" spans="1:46" ht="18.75">
      <c r="A28" s="7"/>
      <c r="B28" s="7" t="s">
        <v>153</v>
      </c>
      <c r="C28" s="7" t="s">
        <v>154</v>
      </c>
      <c r="D28" s="7" t="s">
        <v>155</v>
      </c>
      <c r="E28" s="7" t="s">
        <v>129</v>
      </c>
      <c r="F28" s="7"/>
      <c r="G28" s="7" t="s">
        <v>34</v>
      </c>
      <c r="H28" s="8">
        <v>1</v>
      </c>
      <c r="I28" s="8">
        <v>2093</v>
      </c>
      <c r="J28" s="12">
        <v>104.65</v>
      </c>
      <c r="K28" s="8">
        <v>0</v>
      </c>
      <c r="L28" s="7" t="s">
        <v>35</v>
      </c>
      <c r="M28" s="7" t="s">
        <v>133</v>
      </c>
      <c r="N28" s="7" t="s">
        <v>37</v>
      </c>
      <c r="O28" s="7" t="s">
        <v>38</v>
      </c>
      <c r="P28" s="7" t="s">
        <v>38</v>
      </c>
      <c r="Q28" s="7"/>
      <c r="R28" s="7"/>
      <c r="S28" s="7" t="s">
        <v>39</v>
      </c>
      <c r="T28" s="7" t="s">
        <v>40</v>
      </c>
      <c r="U28" s="8">
        <v>0</v>
      </c>
      <c r="V28" s="8">
        <v>0</v>
      </c>
      <c r="W28" s="7" t="s">
        <v>134</v>
      </c>
      <c r="X28" s="7" t="s">
        <v>135</v>
      </c>
      <c r="Y28" s="7" t="s">
        <v>70</v>
      </c>
      <c r="Z28" s="8">
        <v>1</v>
      </c>
      <c r="AA28" s="8">
        <v>0</v>
      </c>
      <c r="AB28" s="7" t="s">
        <v>71</v>
      </c>
      <c r="AC28" s="7"/>
      <c r="AD28" s="7" t="s">
        <v>136</v>
      </c>
      <c r="AE28" s="7"/>
      <c r="AF28" s="7"/>
      <c r="AG28" s="7"/>
      <c r="AH28" s="8">
        <v>2093</v>
      </c>
      <c r="AI28" s="8">
        <v>2093</v>
      </c>
      <c r="AJ28" s="7" t="s">
        <v>46</v>
      </c>
      <c r="AK28" s="7"/>
      <c r="AL28" s="7"/>
      <c r="AM28" s="7"/>
      <c r="AN28" s="8">
        <v>0</v>
      </c>
      <c r="AO28" s="7"/>
      <c r="AP28" s="8">
        <v>0</v>
      </c>
      <c r="AQ28" s="8">
        <v>0</v>
      </c>
      <c r="AR28" s="8">
        <v>0</v>
      </c>
      <c r="AS28" s="10">
        <f>VLOOKUP(表格1[[#This Row],[品 號 | SKU]],產品價格表[#All],4,0)</f>
        <v>1950</v>
      </c>
      <c r="AT28" s="11" t="str">
        <f>IF(表格1[[#This Row],[標準價]]=表格1[[#This Row],[單價]],"標準價","特殊價")</f>
        <v>特殊價</v>
      </c>
    </row>
    <row r="29" spans="1:46" ht="18.75">
      <c r="A29" s="7"/>
      <c r="B29" s="7" t="s">
        <v>156</v>
      </c>
      <c r="C29" s="7" t="s">
        <v>157</v>
      </c>
      <c r="D29" s="7" t="s">
        <v>158</v>
      </c>
      <c r="E29" s="7" t="s">
        <v>129</v>
      </c>
      <c r="F29" s="7"/>
      <c r="G29" s="7" t="s">
        <v>34</v>
      </c>
      <c r="H29" s="8">
        <v>1</v>
      </c>
      <c r="I29" s="8">
        <v>2855</v>
      </c>
      <c r="J29" s="12">
        <v>142.75</v>
      </c>
      <c r="K29" s="8">
        <v>0</v>
      </c>
      <c r="L29" s="7" t="s">
        <v>35</v>
      </c>
      <c r="M29" s="7" t="s">
        <v>133</v>
      </c>
      <c r="N29" s="7" t="s">
        <v>37</v>
      </c>
      <c r="O29" s="7" t="s">
        <v>38</v>
      </c>
      <c r="P29" s="7" t="s">
        <v>38</v>
      </c>
      <c r="Q29" s="7"/>
      <c r="R29" s="7"/>
      <c r="S29" s="7" t="s">
        <v>140</v>
      </c>
      <c r="T29" s="7" t="s">
        <v>141</v>
      </c>
      <c r="U29" s="8">
        <v>0</v>
      </c>
      <c r="V29" s="8">
        <v>0</v>
      </c>
      <c r="W29" s="7" t="s">
        <v>142</v>
      </c>
      <c r="X29" s="7" t="s">
        <v>143</v>
      </c>
      <c r="Y29" s="7" t="s">
        <v>92</v>
      </c>
      <c r="Z29" s="8">
        <v>1</v>
      </c>
      <c r="AA29" s="8">
        <v>0</v>
      </c>
      <c r="AB29" s="7" t="s">
        <v>63</v>
      </c>
      <c r="AC29" s="7"/>
      <c r="AD29" s="7" t="s">
        <v>47</v>
      </c>
      <c r="AE29" s="7"/>
      <c r="AF29" s="7"/>
      <c r="AG29" s="7"/>
      <c r="AH29" s="8">
        <v>480</v>
      </c>
      <c r="AI29" s="8">
        <v>480</v>
      </c>
      <c r="AJ29" s="7" t="s">
        <v>46</v>
      </c>
      <c r="AK29" s="7"/>
      <c r="AL29" s="7"/>
      <c r="AM29" s="7"/>
      <c r="AN29" s="8">
        <v>0</v>
      </c>
      <c r="AO29" s="7"/>
      <c r="AP29" s="8">
        <v>0</v>
      </c>
      <c r="AQ29" s="8">
        <v>0</v>
      </c>
      <c r="AR29" s="8">
        <v>0</v>
      </c>
      <c r="AS29" s="10" t="e">
        <f>VLOOKUP(表格1[[#This Row],[品 號 | SKU]],產品價格表[#All],4,0)</f>
        <v>#N/A</v>
      </c>
      <c r="AT29" s="11" t="e">
        <f>IF(表格1[[#This Row],[標準價]]=表格1[[#This Row],[單價]],"標準價","特殊價")</f>
        <v>#N/A</v>
      </c>
    </row>
    <row r="30" spans="1:46" ht="18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 t="s">
        <v>142</v>
      </c>
      <c r="X30" s="7" t="s">
        <v>143</v>
      </c>
      <c r="Y30" s="7" t="s">
        <v>92</v>
      </c>
      <c r="Z30" s="8">
        <v>5</v>
      </c>
      <c r="AA30" s="8">
        <v>0</v>
      </c>
      <c r="AB30" s="7" t="s">
        <v>63</v>
      </c>
      <c r="AC30" s="7"/>
      <c r="AD30" s="7" t="s">
        <v>47</v>
      </c>
      <c r="AE30" s="7"/>
      <c r="AF30" s="7"/>
      <c r="AG30" s="7"/>
      <c r="AH30" s="8">
        <v>475</v>
      </c>
      <c r="AI30" s="8">
        <v>475</v>
      </c>
      <c r="AJ30" s="7" t="s">
        <v>38</v>
      </c>
      <c r="AK30" s="7"/>
      <c r="AL30" s="7"/>
      <c r="AM30" s="7"/>
      <c r="AN30" s="8">
        <v>0</v>
      </c>
      <c r="AO30" s="7"/>
      <c r="AP30" s="8">
        <v>0</v>
      </c>
      <c r="AQ30" s="7"/>
      <c r="AR30" s="7"/>
      <c r="AS30" s="10" t="e">
        <f>VLOOKUP(表格1[[#This Row],[品 號 | SKU]],產品價格表[#All],4,0)</f>
        <v>#N/A</v>
      </c>
      <c r="AT30" s="11" t="e">
        <f>IF(表格1[[#This Row],[標準價]]=表格1[[#This Row],[單價]],"標準價","特殊價")</f>
        <v>#N/A</v>
      </c>
    </row>
    <row r="31" spans="1:46" ht="18.75">
      <c r="A31" s="7"/>
      <c r="B31" s="7" t="s">
        <v>159</v>
      </c>
      <c r="C31" s="7" t="s">
        <v>160</v>
      </c>
      <c r="D31" s="7" t="s">
        <v>161</v>
      </c>
      <c r="E31" s="7" t="s">
        <v>129</v>
      </c>
      <c r="F31" s="7"/>
      <c r="G31" s="7" t="s">
        <v>34</v>
      </c>
      <c r="H31" s="8">
        <v>1</v>
      </c>
      <c r="I31" s="8">
        <v>2855</v>
      </c>
      <c r="J31" s="12">
        <v>142.75</v>
      </c>
      <c r="K31" s="8">
        <v>0</v>
      </c>
      <c r="L31" s="7" t="s">
        <v>35</v>
      </c>
      <c r="M31" s="7" t="s">
        <v>133</v>
      </c>
      <c r="N31" s="7" t="s">
        <v>37</v>
      </c>
      <c r="O31" s="7" t="s">
        <v>38</v>
      </c>
      <c r="P31" s="7" t="s">
        <v>38</v>
      </c>
      <c r="Q31" s="7"/>
      <c r="R31" s="7"/>
      <c r="S31" s="7" t="s">
        <v>140</v>
      </c>
      <c r="T31" s="7" t="s">
        <v>141</v>
      </c>
      <c r="U31" s="8">
        <v>0</v>
      </c>
      <c r="V31" s="8">
        <v>0</v>
      </c>
      <c r="W31" s="7" t="s">
        <v>142</v>
      </c>
      <c r="X31" s="7" t="s">
        <v>143</v>
      </c>
      <c r="Y31" s="7" t="s">
        <v>92</v>
      </c>
      <c r="Z31" s="8">
        <v>1</v>
      </c>
      <c r="AA31" s="8">
        <v>0</v>
      </c>
      <c r="AB31" s="7" t="s">
        <v>63</v>
      </c>
      <c r="AC31" s="7"/>
      <c r="AD31" s="7" t="s">
        <v>47</v>
      </c>
      <c r="AE31" s="7"/>
      <c r="AF31" s="7"/>
      <c r="AG31" s="7"/>
      <c r="AH31" s="8">
        <v>480</v>
      </c>
      <c r="AI31" s="8">
        <v>480</v>
      </c>
      <c r="AJ31" s="7" t="s">
        <v>46</v>
      </c>
      <c r="AK31" s="7"/>
      <c r="AL31" s="7"/>
      <c r="AM31" s="7"/>
      <c r="AN31" s="8">
        <v>0</v>
      </c>
      <c r="AO31" s="7"/>
      <c r="AP31" s="8">
        <v>0</v>
      </c>
      <c r="AQ31" s="8">
        <v>0</v>
      </c>
      <c r="AR31" s="8">
        <v>0</v>
      </c>
      <c r="AS31" s="10" t="e">
        <f>VLOOKUP(表格1[[#This Row],[品 號 | SKU]],產品價格表[#All],4,0)</f>
        <v>#N/A</v>
      </c>
      <c r="AT31" s="11" t="e">
        <f>IF(表格1[[#This Row],[標準價]]=表格1[[#This Row],[單價]],"標準價","特殊價")</f>
        <v>#N/A</v>
      </c>
    </row>
    <row r="32" spans="1:46" ht="18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 t="s">
        <v>142</v>
      </c>
      <c r="X32" s="7" t="s">
        <v>143</v>
      </c>
      <c r="Y32" s="7" t="s">
        <v>92</v>
      </c>
      <c r="Z32" s="8">
        <v>5</v>
      </c>
      <c r="AA32" s="8">
        <v>0</v>
      </c>
      <c r="AB32" s="7" t="s">
        <v>63</v>
      </c>
      <c r="AC32" s="7"/>
      <c r="AD32" s="7" t="s">
        <v>47</v>
      </c>
      <c r="AE32" s="7"/>
      <c r="AF32" s="7"/>
      <c r="AG32" s="7"/>
      <c r="AH32" s="8">
        <v>475</v>
      </c>
      <c r="AI32" s="8">
        <v>475</v>
      </c>
      <c r="AJ32" s="7" t="s">
        <v>38</v>
      </c>
      <c r="AK32" s="7"/>
      <c r="AL32" s="7"/>
      <c r="AM32" s="7"/>
      <c r="AN32" s="8">
        <v>0</v>
      </c>
      <c r="AO32" s="7"/>
      <c r="AP32" s="8">
        <v>0</v>
      </c>
      <c r="AQ32" s="7"/>
      <c r="AR32" s="7"/>
      <c r="AS32" s="10" t="e">
        <f>VLOOKUP(表格1[[#This Row],[品 號 | SKU]],產品價格表[#All],4,0)</f>
        <v>#N/A</v>
      </c>
      <c r="AT32" s="11" t="e">
        <f>IF(表格1[[#This Row],[標準價]]=表格1[[#This Row],[單價]],"標準價","特殊價")</f>
        <v>#N/A</v>
      </c>
    </row>
    <row r="33" spans="1:46" ht="18.75">
      <c r="A33" s="7"/>
      <c r="B33" s="7" t="s">
        <v>162</v>
      </c>
      <c r="C33" s="7" t="s">
        <v>163</v>
      </c>
      <c r="D33" s="7" t="s">
        <v>164</v>
      </c>
      <c r="E33" s="7" t="s">
        <v>129</v>
      </c>
      <c r="F33" s="7"/>
      <c r="G33" s="7" t="s">
        <v>34</v>
      </c>
      <c r="H33" s="8">
        <v>1</v>
      </c>
      <c r="I33" s="8">
        <v>2855</v>
      </c>
      <c r="J33" s="12">
        <v>142.75</v>
      </c>
      <c r="K33" s="8">
        <v>0</v>
      </c>
      <c r="L33" s="7" t="s">
        <v>35</v>
      </c>
      <c r="M33" s="7" t="s">
        <v>133</v>
      </c>
      <c r="N33" s="7" t="s">
        <v>37</v>
      </c>
      <c r="O33" s="7" t="s">
        <v>38</v>
      </c>
      <c r="P33" s="7" t="s">
        <v>38</v>
      </c>
      <c r="Q33" s="7"/>
      <c r="R33" s="7"/>
      <c r="S33" s="7" t="s">
        <v>140</v>
      </c>
      <c r="T33" s="7" t="s">
        <v>141</v>
      </c>
      <c r="U33" s="8">
        <v>0</v>
      </c>
      <c r="V33" s="8">
        <v>0</v>
      </c>
      <c r="W33" s="7" t="s">
        <v>142</v>
      </c>
      <c r="X33" s="7" t="s">
        <v>143</v>
      </c>
      <c r="Y33" s="7" t="s">
        <v>92</v>
      </c>
      <c r="Z33" s="8">
        <v>1</v>
      </c>
      <c r="AA33" s="8">
        <v>0</v>
      </c>
      <c r="AB33" s="7" t="s">
        <v>63</v>
      </c>
      <c r="AC33" s="7"/>
      <c r="AD33" s="7" t="s">
        <v>47</v>
      </c>
      <c r="AE33" s="7"/>
      <c r="AF33" s="7"/>
      <c r="AG33" s="7"/>
      <c r="AH33" s="8">
        <v>480</v>
      </c>
      <c r="AI33" s="8">
        <v>480</v>
      </c>
      <c r="AJ33" s="7" t="s">
        <v>46</v>
      </c>
      <c r="AK33" s="7"/>
      <c r="AL33" s="7"/>
      <c r="AM33" s="7"/>
      <c r="AN33" s="8">
        <v>0</v>
      </c>
      <c r="AO33" s="7"/>
      <c r="AP33" s="8">
        <v>0</v>
      </c>
      <c r="AQ33" s="8">
        <v>0</v>
      </c>
      <c r="AR33" s="8">
        <v>0</v>
      </c>
      <c r="AS33" s="10" t="e">
        <f>VLOOKUP(表格1[[#This Row],[品 號 | SKU]],產品價格表[#All],4,0)</f>
        <v>#N/A</v>
      </c>
      <c r="AT33" s="11" t="e">
        <f>IF(表格1[[#This Row],[標準價]]=表格1[[#This Row],[單價]],"標準價","特殊價")</f>
        <v>#N/A</v>
      </c>
    </row>
    <row r="34" spans="1:46" ht="18.7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 t="s">
        <v>142</v>
      </c>
      <c r="X34" s="7" t="s">
        <v>143</v>
      </c>
      <c r="Y34" s="7" t="s">
        <v>92</v>
      </c>
      <c r="Z34" s="8">
        <v>5</v>
      </c>
      <c r="AA34" s="8">
        <v>0</v>
      </c>
      <c r="AB34" s="7" t="s">
        <v>63</v>
      </c>
      <c r="AC34" s="7"/>
      <c r="AD34" s="7" t="s">
        <v>47</v>
      </c>
      <c r="AE34" s="7"/>
      <c r="AF34" s="7"/>
      <c r="AG34" s="7"/>
      <c r="AH34" s="8">
        <v>475</v>
      </c>
      <c r="AI34" s="8">
        <v>475</v>
      </c>
      <c r="AJ34" s="7" t="s">
        <v>38</v>
      </c>
      <c r="AK34" s="7"/>
      <c r="AL34" s="7"/>
      <c r="AM34" s="7"/>
      <c r="AN34" s="8">
        <v>0</v>
      </c>
      <c r="AO34" s="7"/>
      <c r="AP34" s="8">
        <v>0</v>
      </c>
      <c r="AQ34" s="7"/>
      <c r="AR34" s="7"/>
      <c r="AS34" s="10" t="e">
        <f>VLOOKUP(表格1[[#This Row],[品 號 | SKU]],產品價格表[#All],4,0)</f>
        <v>#N/A</v>
      </c>
      <c r="AT34" s="11" t="e">
        <f>IF(表格1[[#This Row],[標準價]]=表格1[[#This Row],[單價]],"標準價","特殊價")</f>
        <v>#N/A</v>
      </c>
    </row>
    <row r="35" spans="1:46" ht="18.75">
      <c r="A35" s="7"/>
      <c r="B35" s="7" t="s">
        <v>165</v>
      </c>
      <c r="C35" s="7" t="s">
        <v>166</v>
      </c>
      <c r="D35" s="7" t="s">
        <v>167</v>
      </c>
      <c r="E35" s="7" t="s">
        <v>129</v>
      </c>
      <c r="F35" s="7"/>
      <c r="G35" s="7" t="s">
        <v>34</v>
      </c>
      <c r="H35" s="8">
        <v>1</v>
      </c>
      <c r="I35" s="8">
        <v>2855</v>
      </c>
      <c r="J35" s="12">
        <v>142.75</v>
      </c>
      <c r="K35" s="8">
        <v>0</v>
      </c>
      <c r="L35" s="7" t="s">
        <v>35</v>
      </c>
      <c r="M35" s="7" t="s">
        <v>133</v>
      </c>
      <c r="N35" s="7" t="s">
        <v>37</v>
      </c>
      <c r="O35" s="7" t="s">
        <v>38</v>
      </c>
      <c r="P35" s="7" t="s">
        <v>38</v>
      </c>
      <c r="Q35" s="7"/>
      <c r="R35" s="7"/>
      <c r="S35" s="7" t="s">
        <v>140</v>
      </c>
      <c r="T35" s="7" t="s">
        <v>141</v>
      </c>
      <c r="U35" s="8">
        <v>0</v>
      </c>
      <c r="V35" s="8">
        <v>0</v>
      </c>
      <c r="W35" s="7" t="s">
        <v>142</v>
      </c>
      <c r="X35" s="7" t="s">
        <v>143</v>
      </c>
      <c r="Y35" s="7" t="s">
        <v>92</v>
      </c>
      <c r="Z35" s="8">
        <v>1</v>
      </c>
      <c r="AA35" s="8">
        <v>0</v>
      </c>
      <c r="AB35" s="7" t="s">
        <v>63</v>
      </c>
      <c r="AC35" s="7"/>
      <c r="AD35" s="7" t="s">
        <v>47</v>
      </c>
      <c r="AE35" s="7"/>
      <c r="AF35" s="7"/>
      <c r="AG35" s="7"/>
      <c r="AH35" s="8">
        <v>480</v>
      </c>
      <c r="AI35" s="8">
        <v>480</v>
      </c>
      <c r="AJ35" s="7" t="s">
        <v>46</v>
      </c>
      <c r="AK35" s="7"/>
      <c r="AL35" s="7"/>
      <c r="AM35" s="7"/>
      <c r="AN35" s="8">
        <v>0</v>
      </c>
      <c r="AO35" s="7"/>
      <c r="AP35" s="8">
        <v>0</v>
      </c>
      <c r="AQ35" s="8">
        <v>0</v>
      </c>
      <c r="AR35" s="8">
        <v>0</v>
      </c>
      <c r="AS35" s="10" t="e">
        <f>VLOOKUP(表格1[[#This Row],[品 號 | SKU]],產品價格表[#All],4,0)</f>
        <v>#N/A</v>
      </c>
      <c r="AT35" s="11" t="e">
        <f>IF(表格1[[#This Row],[標準價]]=表格1[[#This Row],[單價]],"標準價","特殊價")</f>
        <v>#N/A</v>
      </c>
    </row>
    <row r="36" spans="1:46" ht="18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 t="s">
        <v>142</v>
      </c>
      <c r="X36" s="7" t="s">
        <v>143</v>
      </c>
      <c r="Y36" s="7" t="s">
        <v>92</v>
      </c>
      <c r="Z36" s="8">
        <v>5</v>
      </c>
      <c r="AA36" s="8">
        <v>0</v>
      </c>
      <c r="AB36" s="7" t="s">
        <v>63</v>
      </c>
      <c r="AC36" s="7"/>
      <c r="AD36" s="7" t="s">
        <v>47</v>
      </c>
      <c r="AE36" s="7"/>
      <c r="AF36" s="7"/>
      <c r="AG36" s="7"/>
      <c r="AH36" s="8">
        <v>475</v>
      </c>
      <c r="AI36" s="8">
        <v>475</v>
      </c>
      <c r="AJ36" s="7" t="s">
        <v>38</v>
      </c>
      <c r="AK36" s="7"/>
      <c r="AL36" s="7"/>
      <c r="AM36" s="7"/>
      <c r="AN36" s="8">
        <v>0</v>
      </c>
      <c r="AO36" s="7"/>
      <c r="AP36" s="8">
        <v>0</v>
      </c>
      <c r="AQ36" s="7"/>
      <c r="AR36" s="7"/>
      <c r="AS36" s="10" t="e">
        <f>VLOOKUP(表格1[[#This Row],[品 號 | SKU]],產品價格表[#All],4,0)</f>
        <v>#N/A</v>
      </c>
      <c r="AT36" s="11" t="e">
        <f>IF(表格1[[#This Row],[標準價]]=表格1[[#This Row],[單價]],"標準價","特殊價")</f>
        <v>#N/A</v>
      </c>
    </row>
  </sheetData>
  <phoneticPr fontId="3" type="noConversion"/>
  <conditionalFormatting sqref="AT1:AT1048576">
    <cfRule type="cellIs" dxfId="1" priority="1" operator="equal">
      <formula>"特殊價"</formula>
    </cfRule>
  </conditionalFormatting>
  <conditionalFormatting sqref="AT7">
    <cfRule type="containsText" dxfId="0" priority="2" operator="containsText" text="特殊價">
      <formula>NOT(ISERROR(SEARCH("特殊價",AT7)))</formula>
    </cfRule>
  </conditionalFormatting>
  <pageMargins left="0.75" right="0.75" top="1" bottom="1" header="0.5" footer="0.5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91F5-E4A2-4BE0-9856-0B98A315BBAD}">
  <dimension ref="A1:G293"/>
  <sheetViews>
    <sheetView workbookViewId="0">
      <selection activeCell="B306" sqref="B306"/>
    </sheetView>
  </sheetViews>
  <sheetFormatPr defaultColWidth="8.85546875" defaultRowHeight="12.75"/>
  <cols>
    <col min="1" max="1" width="26.28515625" bestFit="1" customWidth="1"/>
    <col min="2" max="2" width="109.140625" bestFit="1" customWidth="1"/>
    <col min="3" max="3" width="20.5703125" bestFit="1" customWidth="1"/>
    <col min="4" max="4" width="15" bestFit="1" customWidth="1"/>
    <col min="5" max="7" width="12.140625" bestFit="1" customWidth="1"/>
  </cols>
  <sheetData>
    <row r="1" spans="1:7" ht="18.75">
      <c r="A1" s="30" t="s">
        <v>1171</v>
      </c>
      <c r="B1" s="30" t="s">
        <v>1174</v>
      </c>
      <c r="C1" s="30" t="s">
        <v>169</v>
      </c>
      <c r="D1" s="30" t="s">
        <v>170</v>
      </c>
      <c r="E1" s="30" t="s">
        <v>171</v>
      </c>
      <c r="F1" s="30" t="s">
        <v>172</v>
      </c>
      <c r="G1" s="30" t="s">
        <v>173</v>
      </c>
    </row>
    <row r="2" spans="1:7" ht="18.75">
      <c r="A2" s="13" t="s">
        <v>174</v>
      </c>
      <c r="B2" s="13" t="s">
        <v>175</v>
      </c>
      <c r="C2" s="13" t="s">
        <v>176</v>
      </c>
      <c r="D2" s="14">
        <v>0</v>
      </c>
      <c r="E2" s="14">
        <v>0</v>
      </c>
      <c r="F2" s="14">
        <v>0</v>
      </c>
      <c r="G2" s="14">
        <v>0</v>
      </c>
    </row>
    <row r="3" spans="1:7" ht="18.75">
      <c r="A3" s="13" t="s">
        <v>177</v>
      </c>
      <c r="B3" s="13" t="s">
        <v>178</v>
      </c>
      <c r="C3" s="13" t="s">
        <v>179</v>
      </c>
      <c r="D3" s="14">
        <v>1530</v>
      </c>
      <c r="E3" s="14">
        <v>1260</v>
      </c>
      <c r="F3" s="14">
        <v>0</v>
      </c>
      <c r="G3" s="14">
        <v>1257</v>
      </c>
    </row>
    <row r="4" spans="1:7" ht="18.75">
      <c r="A4" s="13" t="s">
        <v>180</v>
      </c>
      <c r="B4" s="13" t="s">
        <v>181</v>
      </c>
      <c r="C4" s="13" t="s">
        <v>179</v>
      </c>
      <c r="D4" s="14">
        <v>100</v>
      </c>
      <c r="E4" s="14">
        <v>0</v>
      </c>
      <c r="F4" s="14">
        <v>0</v>
      </c>
      <c r="G4" s="14">
        <v>85</v>
      </c>
    </row>
    <row r="5" spans="1:7" ht="18.75">
      <c r="A5" s="13" t="s">
        <v>182</v>
      </c>
      <c r="B5" s="13" t="s">
        <v>183</v>
      </c>
      <c r="C5" s="13" t="s">
        <v>179</v>
      </c>
      <c r="D5" s="14">
        <v>1500</v>
      </c>
      <c r="E5" s="14">
        <v>1200</v>
      </c>
      <c r="F5" s="14">
        <v>0</v>
      </c>
      <c r="G5" s="14">
        <v>1345</v>
      </c>
    </row>
    <row r="6" spans="1:7" ht="18.75">
      <c r="A6" s="13" t="s">
        <v>184</v>
      </c>
      <c r="B6" s="13" t="s">
        <v>185</v>
      </c>
      <c r="C6" s="13" t="s">
        <v>176</v>
      </c>
      <c r="D6" s="14">
        <v>0</v>
      </c>
      <c r="E6" s="14">
        <v>0</v>
      </c>
      <c r="F6" s="14">
        <v>0</v>
      </c>
      <c r="G6" s="14">
        <v>0</v>
      </c>
    </row>
    <row r="7" spans="1:7" ht="18.75">
      <c r="A7" s="13" t="s">
        <v>186</v>
      </c>
      <c r="B7" s="13" t="s">
        <v>187</v>
      </c>
      <c r="C7" s="13" t="s">
        <v>179</v>
      </c>
      <c r="D7" s="14">
        <v>1950</v>
      </c>
      <c r="E7" s="14">
        <v>1630</v>
      </c>
      <c r="F7" s="14">
        <v>0</v>
      </c>
      <c r="G7" s="14">
        <v>1616</v>
      </c>
    </row>
    <row r="8" spans="1:7" ht="18.75">
      <c r="A8" s="13" t="s">
        <v>188</v>
      </c>
      <c r="B8" s="13" t="s">
        <v>189</v>
      </c>
      <c r="C8" s="13" t="s">
        <v>176</v>
      </c>
      <c r="D8" s="14">
        <v>0</v>
      </c>
      <c r="E8" s="14">
        <v>0</v>
      </c>
      <c r="F8" s="14">
        <v>0</v>
      </c>
      <c r="G8" s="14">
        <v>0</v>
      </c>
    </row>
    <row r="9" spans="1:7" ht="18.75">
      <c r="A9" s="13" t="s">
        <v>68</v>
      </c>
      <c r="B9" s="13" t="s">
        <v>69</v>
      </c>
      <c r="C9" s="13" t="s">
        <v>179</v>
      </c>
      <c r="D9" s="14">
        <v>1750</v>
      </c>
      <c r="E9" s="14">
        <v>1450</v>
      </c>
      <c r="F9" s="14">
        <v>0</v>
      </c>
      <c r="G9" s="14">
        <v>1300</v>
      </c>
    </row>
    <row r="10" spans="1:7" ht="18.75">
      <c r="A10" s="13" t="s">
        <v>190</v>
      </c>
      <c r="B10" s="13" t="s">
        <v>191</v>
      </c>
      <c r="C10" s="13" t="s">
        <v>179</v>
      </c>
      <c r="D10" s="14">
        <v>100</v>
      </c>
      <c r="E10" s="14">
        <v>0</v>
      </c>
      <c r="F10" s="14">
        <v>0</v>
      </c>
      <c r="G10" s="14">
        <v>85</v>
      </c>
    </row>
    <row r="11" spans="1:7" ht="18.75">
      <c r="A11" s="13" t="s">
        <v>192</v>
      </c>
      <c r="B11" s="13" t="s">
        <v>193</v>
      </c>
      <c r="C11" s="13" t="s">
        <v>179</v>
      </c>
      <c r="D11" s="14">
        <v>2050</v>
      </c>
      <c r="E11" s="14">
        <v>1780</v>
      </c>
      <c r="F11" s="14">
        <v>0</v>
      </c>
      <c r="G11" s="14">
        <v>1789</v>
      </c>
    </row>
    <row r="12" spans="1:7" ht="18.75">
      <c r="A12" s="13" t="s">
        <v>194</v>
      </c>
      <c r="B12" s="13" t="s">
        <v>195</v>
      </c>
      <c r="C12" s="13" t="s">
        <v>176</v>
      </c>
      <c r="D12" s="14">
        <v>0</v>
      </c>
      <c r="E12" s="14">
        <v>0</v>
      </c>
      <c r="F12" s="14">
        <v>0</v>
      </c>
      <c r="G12" s="14">
        <v>0</v>
      </c>
    </row>
    <row r="13" spans="1:7" ht="18.75">
      <c r="A13" s="13" t="s">
        <v>196</v>
      </c>
      <c r="B13" s="13" t="s">
        <v>197</v>
      </c>
      <c r="C13" s="13" t="s">
        <v>179</v>
      </c>
      <c r="D13" s="14">
        <v>2000</v>
      </c>
      <c r="E13" s="14">
        <v>1730</v>
      </c>
      <c r="F13" s="14">
        <v>0</v>
      </c>
      <c r="G13" s="14">
        <v>1950</v>
      </c>
    </row>
    <row r="14" spans="1:7" ht="18.75">
      <c r="A14" s="13" t="s">
        <v>198</v>
      </c>
      <c r="B14" s="13" t="s">
        <v>199</v>
      </c>
      <c r="C14" s="13" t="s">
        <v>176</v>
      </c>
      <c r="D14" s="14">
        <v>0</v>
      </c>
      <c r="E14" s="14">
        <v>0</v>
      </c>
      <c r="F14" s="14">
        <v>0</v>
      </c>
      <c r="G14" s="14">
        <v>0</v>
      </c>
    </row>
    <row r="15" spans="1:7" ht="18.75">
      <c r="A15" s="13" t="s">
        <v>200</v>
      </c>
      <c r="B15" s="13" t="s">
        <v>201</v>
      </c>
      <c r="C15" s="13" t="s">
        <v>179</v>
      </c>
      <c r="D15" s="14">
        <v>1950</v>
      </c>
      <c r="E15" s="14">
        <v>1680</v>
      </c>
      <c r="F15" s="14">
        <v>0</v>
      </c>
      <c r="G15" s="14">
        <v>1668</v>
      </c>
    </row>
    <row r="16" spans="1:7" ht="18.75">
      <c r="A16" s="13" t="s">
        <v>202</v>
      </c>
      <c r="B16" s="13" t="s">
        <v>203</v>
      </c>
      <c r="C16" s="13" t="s">
        <v>176</v>
      </c>
      <c r="D16" s="14">
        <v>0</v>
      </c>
      <c r="E16" s="14">
        <v>0</v>
      </c>
      <c r="F16" s="14">
        <v>0</v>
      </c>
      <c r="G16" s="14">
        <v>0</v>
      </c>
    </row>
    <row r="17" spans="1:7" ht="18.75">
      <c r="A17" s="13" t="s">
        <v>204</v>
      </c>
      <c r="B17" s="13" t="s">
        <v>205</v>
      </c>
      <c r="C17" s="13" t="s">
        <v>206</v>
      </c>
      <c r="D17" s="14">
        <v>2650</v>
      </c>
      <c r="E17" s="14">
        <v>2380</v>
      </c>
      <c r="F17" s="14">
        <v>0</v>
      </c>
      <c r="G17" s="14">
        <v>2475</v>
      </c>
    </row>
    <row r="18" spans="1:7" ht="18.75">
      <c r="A18" s="13" t="s">
        <v>207</v>
      </c>
      <c r="B18" s="13" t="s">
        <v>208</v>
      </c>
      <c r="C18" s="13" t="s">
        <v>176</v>
      </c>
      <c r="D18" s="14">
        <v>0</v>
      </c>
      <c r="E18" s="14">
        <v>0</v>
      </c>
      <c r="F18" s="14">
        <v>0</v>
      </c>
      <c r="G18" s="14">
        <v>0</v>
      </c>
    </row>
    <row r="19" spans="1:7" ht="18.75">
      <c r="A19" s="13" t="s">
        <v>209</v>
      </c>
      <c r="B19" s="13" t="s">
        <v>210</v>
      </c>
      <c r="C19" s="13" t="s">
        <v>206</v>
      </c>
      <c r="D19" s="14">
        <v>2300</v>
      </c>
      <c r="E19" s="14">
        <v>2100</v>
      </c>
      <c r="F19" s="14">
        <v>2300</v>
      </c>
      <c r="G19" s="14">
        <v>0</v>
      </c>
    </row>
    <row r="20" spans="1:7" ht="18.75">
      <c r="A20" s="13" t="s">
        <v>211</v>
      </c>
      <c r="B20" s="13" t="s">
        <v>212</v>
      </c>
      <c r="C20" s="13" t="s">
        <v>176</v>
      </c>
      <c r="D20" s="14">
        <v>250</v>
      </c>
      <c r="E20" s="14">
        <v>0</v>
      </c>
      <c r="F20" s="14">
        <v>0</v>
      </c>
      <c r="G20" s="14">
        <v>0</v>
      </c>
    </row>
    <row r="21" spans="1:7" ht="18.75">
      <c r="A21" s="13" t="s">
        <v>213</v>
      </c>
      <c r="B21" s="13" t="s">
        <v>214</v>
      </c>
      <c r="C21" s="13" t="s">
        <v>206</v>
      </c>
      <c r="D21" s="14">
        <v>2500</v>
      </c>
      <c r="E21" s="14">
        <v>0</v>
      </c>
      <c r="F21" s="14">
        <v>2500</v>
      </c>
      <c r="G21" s="14">
        <v>0</v>
      </c>
    </row>
    <row r="22" spans="1:7" ht="18.75">
      <c r="A22" s="13" t="s">
        <v>215</v>
      </c>
      <c r="B22" s="13" t="s">
        <v>216</v>
      </c>
      <c r="C22" s="13" t="s">
        <v>176</v>
      </c>
      <c r="D22" s="14">
        <v>0</v>
      </c>
      <c r="E22" s="14">
        <v>0</v>
      </c>
      <c r="F22" s="14">
        <v>0</v>
      </c>
      <c r="G22" s="14">
        <v>0</v>
      </c>
    </row>
    <row r="23" spans="1:7" ht="18.75">
      <c r="A23" s="13" t="s">
        <v>217</v>
      </c>
      <c r="B23" s="13" t="s">
        <v>218</v>
      </c>
      <c r="C23" s="13" t="s">
        <v>206</v>
      </c>
      <c r="D23" s="14">
        <v>2500</v>
      </c>
      <c r="E23" s="14">
        <v>2300</v>
      </c>
      <c r="F23" s="14">
        <v>2500</v>
      </c>
      <c r="G23" s="14">
        <v>0</v>
      </c>
    </row>
    <row r="24" spans="1:7" ht="18.75">
      <c r="A24" s="13" t="s">
        <v>219</v>
      </c>
      <c r="B24" s="13" t="s">
        <v>220</v>
      </c>
      <c r="C24" s="13" t="s">
        <v>176</v>
      </c>
      <c r="D24" s="14">
        <v>250</v>
      </c>
      <c r="E24" s="14">
        <v>0</v>
      </c>
      <c r="F24" s="14">
        <v>0</v>
      </c>
      <c r="G24" s="14">
        <v>0</v>
      </c>
    </row>
    <row r="25" spans="1:7" ht="18.75">
      <c r="A25" s="13" t="s">
        <v>221</v>
      </c>
      <c r="B25" s="13" t="s">
        <v>222</v>
      </c>
      <c r="C25" s="13" t="s">
        <v>206</v>
      </c>
      <c r="D25" s="14">
        <v>2000</v>
      </c>
      <c r="E25" s="14">
        <v>1730</v>
      </c>
      <c r="F25" s="14">
        <v>0</v>
      </c>
      <c r="G25" s="14">
        <v>1659</v>
      </c>
    </row>
    <row r="26" spans="1:7" ht="18.75">
      <c r="A26" s="13" t="s">
        <v>223</v>
      </c>
      <c r="B26" s="13" t="s">
        <v>224</v>
      </c>
      <c r="C26" s="13" t="s">
        <v>176</v>
      </c>
      <c r="D26" s="14">
        <v>0</v>
      </c>
      <c r="E26" s="14">
        <v>0</v>
      </c>
      <c r="F26" s="14">
        <v>0</v>
      </c>
      <c r="G26" s="14">
        <v>0</v>
      </c>
    </row>
    <row r="27" spans="1:7" ht="18.75">
      <c r="A27" s="13" t="s">
        <v>225</v>
      </c>
      <c r="B27" s="13" t="s">
        <v>226</v>
      </c>
      <c r="C27" s="13" t="s">
        <v>176</v>
      </c>
      <c r="D27" s="14">
        <v>2550</v>
      </c>
      <c r="E27" s="14">
        <v>2400</v>
      </c>
      <c r="F27" s="14">
        <v>2550</v>
      </c>
      <c r="G27" s="14">
        <v>0</v>
      </c>
    </row>
    <row r="28" spans="1:7" ht="18.75">
      <c r="A28" s="13" t="s">
        <v>227</v>
      </c>
      <c r="B28" s="13" t="s">
        <v>228</v>
      </c>
      <c r="C28" s="13" t="s">
        <v>176</v>
      </c>
      <c r="D28" s="14">
        <v>250</v>
      </c>
      <c r="E28" s="14">
        <v>0</v>
      </c>
      <c r="F28" s="14">
        <v>0</v>
      </c>
      <c r="G28" s="14">
        <v>0</v>
      </c>
    </row>
    <row r="29" spans="1:7" ht="18.75">
      <c r="A29" s="13" t="s">
        <v>229</v>
      </c>
      <c r="B29" s="13" t="s">
        <v>230</v>
      </c>
      <c r="C29" s="13" t="s">
        <v>176</v>
      </c>
      <c r="D29" s="14">
        <v>2050</v>
      </c>
      <c r="E29" s="14">
        <v>1730</v>
      </c>
      <c r="F29" s="14">
        <v>0</v>
      </c>
      <c r="G29" s="14">
        <v>1682</v>
      </c>
    </row>
    <row r="30" spans="1:7" ht="18.75">
      <c r="A30" s="13" t="s">
        <v>231</v>
      </c>
      <c r="B30" s="13" t="s">
        <v>232</v>
      </c>
      <c r="C30" s="13" t="s">
        <v>176</v>
      </c>
      <c r="D30" s="14">
        <v>0</v>
      </c>
      <c r="E30" s="14">
        <v>0</v>
      </c>
      <c r="F30" s="14">
        <v>0</v>
      </c>
      <c r="G30" s="14">
        <v>0</v>
      </c>
    </row>
    <row r="31" spans="1:7" ht="18.75">
      <c r="A31" s="13" t="s">
        <v>233</v>
      </c>
      <c r="B31" s="13" t="s">
        <v>234</v>
      </c>
      <c r="C31" s="13" t="s">
        <v>206</v>
      </c>
      <c r="D31" s="14">
        <v>2350</v>
      </c>
      <c r="E31" s="14">
        <v>2000</v>
      </c>
      <c r="F31" s="14">
        <v>0</v>
      </c>
      <c r="G31" s="14">
        <v>1848</v>
      </c>
    </row>
    <row r="32" spans="1:7" ht="18.75">
      <c r="A32" s="13" t="s">
        <v>235</v>
      </c>
      <c r="B32" s="13" t="s">
        <v>236</v>
      </c>
      <c r="C32" s="13" t="s">
        <v>176</v>
      </c>
      <c r="D32" s="14">
        <v>0</v>
      </c>
      <c r="E32" s="14">
        <v>0</v>
      </c>
      <c r="F32" s="14">
        <v>0</v>
      </c>
      <c r="G32" s="14">
        <v>0</v>
      </c>
    </row>
    <row r="33" spans="1:7" ht="18.75">
      <c r="A33" s="13" t="s">
        <v>237</v>
      </c>
      <c r="B33" s="13" t="s">
        <v>238</v>
      </c>
      <c r="C33" s="13" t="s">
        <v>206</v>
      </c>
      <c r="D33" s="14">
        <v>2450</v>
      </c>
      <c r="E33" s="14">
        <v>2200</v>
      </c>
      <c r="F33" s="14">
        <v>0</v>
      </c>
      <c r="G33" s="14">
        <v>2198</v>
      </c>
    </row>
    <row r="34" spans="1:7" ht="18.75">
      <c r="A34" s="13" t="s">
        <v>239</v>
      </c>
      <c r="B34" s="13" t="s">
        <v>240</v>
      </c>
      <c r="C34" s="13" t="s">
        <v>241</v>
      </c>
      <c r="D34" s="14">
        <v>0</v>
      </c>
      <c r="E34" s="14">
        <v>0</v>
      </c>
      <c r="F34" s="14">
        <v>0</v>
      </c>
      <c r="G34" s="14">
        <v>0</v>
      </c>
    </row>
    <row r="35" spans="1:7" ht="18.75">
      <c r="A35" s="13" t="s">
        <v>242</v>
      </c>
      <c r="B35" s="13" t="s">
        <v>243</v>
      </c>
      <c r="C35" s="13" t="s">
        <v>179</v>
      </c>
      <c r="D35" s="14">
        <v>2750</v>
      </c>
      <c r="E35" s="14">
        <v>2430</v>
      </c>
      <c r="F35" s="14">
        <v>0</v>
      </c>
      <c r="G35" s="14">
        <v>2538</v>
      </c>
    </row>
    <row r="36" spans="1:7" ht="18.75">
      <c r="A36" s="13" t="s">
        <v>244</v>
      </c>
      <c r="B36" s="13" t="s">
        <v>245</v>
      </c>
      <c r="C36" s="13" t="s">
        <v>176</v>
      </c>
      <c r="D36" s="14">
        <v>0</v>
      </c>
      <c r="E36" s="14">
        <v>0</v>
      </c>
      <c r="F36" s="14">
        <v>0</v>
      </c>
      <c r="G36" s="14">
        <v>0</v>
      </c>
    </row>
    <row r="37" spans="1:7" ht="18.75">
      <c r="A37" s="13" t="s">
        <v>246</v>
      </c>
      <c r="B37" s="13" t="s">
        <v>247</v>
      </c>
      <c r="C37" s="13" t="s">
        <v>206</v>
      </c>
      <c r="D37" s="14">
        <v>2400</v>
      </c>
      <c r="E37" s="14">
        <v>2100</v>
      </c>
      <c r="F37" s="14">
        <v>0</v>
      </c>
      <c r="G37" s="14">
        <v>2259</v>
      </c>
    </row>
    <row r="38" spans="1:7" ht="18.75">
      <c r="A38" s="13" t="s">
        <v>248</v>
      </c>
      <c r="B38" s="13" t="s">
        <v>249</v>
      </c>
      <c r="C38" s="13" t="s">
        <v>176</v>
      </c>
      <c r="D38" s="14">
        <v>0</v>
      </c>
      <c r="E38" s="14">
        <v>0</v>
      </c>
      <c r="F38" s="14">
        <v>0</v>
      </c>
      <c r="G38" s="14">
        <v>0</v>
      </c>
    </row>
    <row r="39" spans="1:7" ht="18.75">
      <c r="A39" s="13" t="s">
        <v>134</v>
      </c>
      <c r="B39" s="13" t="s">
        <v>135</v>
      </c>
      <c r="C39" s="13" t="s">
        <v>206</v>
      </c>
      <c r="D39" s="14">
        <v>1950</v>
      </c>
      <c r="E39" s="14">
        <v>1580</v>
      </c>
      <c r="F39" s="14">
        <v>0</v>
      </c>
      <c r="G39" s="14">
        <v>1464</v>
      </c>
    </row>
    <row r="40" spans="1:7" ht="18.75">
      <c r="A40" s="13" t="s">
        <v>250</v>
      </c>
      <c r="B40" s="13" t="s">
        <v>251</v>
      </c>
      <c r="C40" s="13" t="s">
        <v>241</v>
      </c>
      <c r="D40" s="14">
        <v>0</v>
      </c>
      <c r="E40" s="14">
        <v>0</v>
      </c>
      <c r="F40" s="14">
        <v>0</v>
      </c>
      <c r="G40" s="14">
        <v>0</v>
      </c>
    </row>
    <row r="41" spans="1:7" ht="18.75">
      <c r="A41" s="13" t="s">
        <v>252</v>
      </c>
      <c r="B41" s="13" t="s">
        <v>253</v>
      </c>
      <c r="C41" s="13" t="s">
        <v>176</v>
      </c>
      <c r="D41" s="14">
        <v>2250</v>
      </c>
      <c r="E41" s="14">
        <v>2000</v>
      </c>
      <c r="F41" s="14">
        <v>0</v>
      </c>
      <c r="G41" s="14">
        <v>2050</v>
      </c>
    </row>
    <row r="42" spans="1:7" ht="18.75">
      <c r="A42" s="13" t="s">
        <v>254</v>
      </c>
      <c r="B42" s="13" t="s">
        <v>255</v>
      </c>
      <c r="C42" s="13" t="s">
        <v>176</v>
      </c>
      <c r="D42" s="14">
        <v>0</v>
      </c>
      <c r="E42" s="14">
        <v>0</v>
      </c>
      <c r="F42" s="14">
        <v>0</v>
      </c>
      <c r="G42" s="14">
        <v>0</v>
      </c>
    </row>
    <row r="43" spans="1:7" ht="18.75">
      <c r="A43" s="13" t="s">
        <v>256</v>
      </c>
      <c r="B43" s="13" t="s">
        <v>257</v>
      </c>
      <c r="C43" s="13" t="s">
        <v>206</v>
      </c>
      <c r="D43" s="14">
        <v>2200</v>
      </c>
      <c r="E43" s="14">
        <v>1630</v>
      </c>
      <c r="F43" s="14">
        <v>0</v>
      </c>
      <c r="G43" s="14">
        <v>1550</v>
      </c>
    </row>
    <row r="44" spans="1:7" ht="18.75">
      <c r="A44" s="13" t="s">
        <v>258</v>
      </c>
      <c r="B44" s="13" t="s">
        <v>259</v>
      </c>
      <c r="C44" s="13" t="s">
        <v>176</v>
      </c>
      <c r="D44" s="14">
        <v>0</v>
      </c>
      <c r="E44" s="14">
        <v>0</v>
      </c>
      <c r="F44" s="14">
        <v>0</v>
      </c>
      <c r="G44" s="14">
        <v>0</v>
      </c>
    </row>
    <row r="45" spans="1:7" ht="18.75">
      <c r="A45" s="13" t="s">
        <v>260</v>
      </c>
      <c r="B45" s="13" t="s">
        <v>261</v>
      </c>
      <c r="C45" s="13" t="s">
        <v>176</v>
      </c>
      <c r="D45" s="14">
        <v>0</v>
      </c>
      <c r="E45" s="14">
        <v>0</v>
      </c>
      <c r="F45" s="14">
        <v>0</v>
      </c>
      <c r="G45" s="14">
        <v>0</v>
      </c>
    </row>
    <row r="46" spans="1:7" ht="18.75">
      <c r="A46" s="13" t="s">
        <v>262</v>
      </c>
      <c r="B46" s="13" t="s">
        <v>263</v>
      </c>
      <c r="C46" s="13" t="s">
        <v>241</v>
      </c>
      <c r="D46" s="14">
        <v>0</v>
      </c>
      <c r="E46" s="14">
        <v>0</v>
      </c>
      <c r="F46" s="14">
        <v>0</v>
      </c>
      <c r="G46" s="14">
        <v>0</v>
      </c>
    </row>
    <row r="47" spans="1:7" ht="18.75">
      <c r="A47" s="13" t="s">
        <v>264</v>
      </c>
      <c r="B47" s="13" t="s">
        <v>265</v>
      </c>
      <c r="C47" s="13" t="s">
        <v>176</v>
      </c>
      <c r="D47" s="14">
        <v>2017</v>
      </c>
      <c r="E47" s="14">
        <v>1639</v>
      </c>
      <c r="F47" s="14">
        <v>0</v>
      </c>
      <c r="G47" s="14">
        <v>0</v>
      </c>
    </row>
    <row r="48" spans="1:7" ht="18.75">
      <c r="A48" s="13" t="s">
        <v>266</v>
      </c>
      <c r="B48" s="13" t="s">
        <v>267</v>
      </c>
      <c r="C48" s="13" t="s">
        <v>241</v>
      </c>
      <c r="D48" s="14">
        <v>0</v>
      </c>
      <c r="E48" s="14">
        <v>0</v>
      </c>
      <c r="F48" s="14">
        <v>0</v>
      </c>
      <c r="G48" s="14">
        <v>0</v>
      </c>
    </row>
    <row r="49" spans="1:7" ht="18.75">
      <c r="A49" s="13" t="s">
        <v>268</v>
      </c>
      <c r="B49" s="13" t="s">
        <v>269</v>
      </c>
      <c r="C49" s="13" t="s">
        <v>206</v>
      </c>
      <c r="D49" s="14">
        <v>2400</v>
      </c>
      <c r="E49" s="14">
        <v>2080</v>
      </c>
      <c r="F49" s="14">
        <v>0</v>
      </c>
      <c r="G49" s="14">
        <v>1968</v>
      </c>
    </row>
    <row r="50" spans="1:7" ht="18.75">
      <c r="A50" s="13" t="s">
        <v>270</v>
      </c>
      <c r="B50" s="13" t="s">
        <v>271</v>
      </c>
      <c r="C50" s="13" t="s">
        <v>241</v>
      </c>
      <c r="D50" s="14">
        <v>0</v>
      </c>
      <c r="E50" s="14">
        <v>0</v>
      </c>
      <c r="F50" s="14">
        <v>0</v>
      </c>
      <c r="G50" s="14">
        <v>0</v>
      </c>
    </row>
    <row r="51" spans="1:7" ht="18.75">
      <c r="A51" s="13" t="s">
        <v>272</v>
      </c>
      <c r="B51" s="13" t="s">
        <v>273</v>
      </c>
      <c r="C51" s="13" t="s">
        <v>206</v>
      </c>
      <c r="D51" s="14">
        <v>2350</v>
      </c>
      <c r="E51" s="14">
        <v>2130</v>
      </c>
      <c r="F51" s="14">
        <v>0</v>
      </c>
      <c r="G51" s="14">
        <v>2144</v>
      </c>
    </row>
    <row r="52" spans="1:7" ht="18.75">
      <c r="A52" s="13" t="s">
        <v>274</v>
      </c>
      <c r="B52" s="13" t="s">
        <v>275</v>
      </c>
      <c r="C52" s="13" t="s">
        <v>176</v>
      </c>
      <c r="D52" s="14">
        <v>0</v>
      </c>
      <c r="E52" s="14">
        <v>0</v>
      </c>
      <c r="F52" s="14">
        <v>0</v>
      </c>
      <c r="G52" s="14">
        <v>0</v>
      </c>
    </row>
    <row r="53" spans="1:7" ht="18.75">
      <c r="A53" s="13" t="s">
        <v>276</v>
      </c>
      <c r="B53" s="13" t="s">
        <v>277</v>
      </c>
      <c r="C53" s="13" t="s">
        <v>176</v>
      </c>
      <c r="D53" s="14">
        <v>2600</v>
      </c>
      <c r="E53" s="14">
        <v>2500</v>
      </c>
      <c r="F53" s="14">
        <v>2600</v>
      </c>
      <c r="G53" s="14">
        <v>0</v>
      </c>
    </row>
    <row r="54" spans="1:7" ht="18.75">
      <c r="A54" s="13" t="s">
        <v>278</v>
      </c>
      <c r="B54" s="13" t="s">
        <v>279</v>
      </c>
      <c r="C54" s="13" t="s">
        <v>241</v>
      </c>
      <c r="D54" s="14">
        <v>0</v>
      </c>
      <c r="E54" s="14">
        <v>0</v>
      </c>
      <c r="F54" s="14">
        <v>0</v>
      </c>
      <c r="G54" s="14">
        <v>0</v>
      </c>
    </row>
    <row r="55" spans="1:7" ht="18.75">
      <c r="A55" s="13" t="s">
        <v>280</v>
      </c>
      <c r="B55" s="13" t="s">
        <v>281</v>
      </c>
      <c r="C55" s="13" t="s">
        <v>176</v>
      </c>
      <c r="D55" s="14">
        <v>2200</v>
      </c>
      <c r="E55" s="14">
        <v>2050</v>
      </c>
      <c r="F55" s="14">
        <v>2200</v>
      </c>
      <c r="G55" s="14">
        <v>0</v>
      </c>
    </row>
    <row r="56" spans="1:7" ht="18.75">
      <c r="A56" s="13" t="s">
        <v>282</v>
      </c>
      <c r="B56" s="13" t="s">
        <v>283</v>
      </c>
      <c r="C56" s="13" t="s">
        <v>241</v>
      </c>
      <c r="D56" s="14">
        <v>0</v>
      </c>
      <c r="E56" s="14">
        <v>0</v>
      </c>
      <c r="F56" s="14">
        <v>0</v>
      </c>
      <c r="G56" s="14">
        <v>0</v>
      </c>
    </row>
    <row r="57" spans="1:7" ht="18.75">
      <c r="A57" s="13" t="s">
        <v>284</v>
      </c>
      <c r="B57" s="13" t="s">
        <v>285</v>
      </c>
      <c r="C57" s="13" t="s">
        <v>206</v>
      </c>
      <c r="D57" s="14">
        <v>2750</v>
      </c>
      <c r="E57" s="14">
        <v>2650</v>
      </c>
      <c r="F57" s="14">
        <v>2750</v>
      </c>
      <c r="G57" s="14">
        <v>0</v>
      </c>
    </row>
    <row r="58" spans="1:7" ht="18.75">
      <c r="A58" s="13" t="s">
        <v>286</v>
      </c>
      <c r="B58" s="13" t="s">
        <v>287</v>
      </c>
      <c r="C58" s="13" t="s">
        <v>241</v>
      </c>
      <c r="D58" s="14">
        <v>0</v>
      </c>
      <c r="E58" s="14">
        <v>0</v>
      </c>
      <c r="F58" s="14">
        <v>0</v>
      </c>
      <c r="G58" s="14">
        <v>0</v>
      </c>
    </row>
    <row r="59" spans="1:7" ht="18.75">
      <c r="A59" s="13" t="s">
        <v>288</v>
      </c>
      <c r="B59" s="13" t="s">
        <v>289</v>
      </c>
      <c r="C59" s="13" t="s">
        <v>176</v>
      </c>
      <c r="D59" s="14">
        <v>2300</v>
      </c>
      <c r="E59" s="14">
        <v>2000</v>
      </c>
      <c r="F59" s="14">
        <v>2300</v>
      </c>
      <c r="G59" s="14">
        <v>0</v>
      </c>
    </row>
    <row r="60" spans="1:7" ht="18.75">
      <c r="A60" s="13" t="s">
        <v>290</v>
      </c>
      <c r="B60" s="13" t="s">
        <v>291</v>
      </c>
      <c r="C60" s="13" t="s">
        <v>241</v>
      </c>
      <c r="D60" s="14">
        <v>0</v>
      </c>
      <c r="E60" s="14">
        <v>0</v>
      </c>
      <c r="F60" s="14">
        <v>0</v>
      </c>
      <c r="G60" s="14">
        <v>0</v>
      </c>
    </row>
    <row r="61" spans="1:7" ht="18.75">
      <c r="A61" s="13" t="s">
        <v>292</v>
      </c>
      <c r="B61" s="13" t="s">
        <v>293</v>
      </c>
      <c r="C61" s="13" t="s">
        <v>176</v>
      </c>
      <c r="D61" s="14">
        <v>2600</v>
      </c>
      <c r="E61" s="14">
        <v>2330</v>
      </c>
      <c r="F61" s="14">
        <v>0</v>
      </c>
      <c r="G61" s="14">
        <v>1939</v>
      </c>
    </row>
    <row r="62" spans="1:7" ht="18.75">
      <c r="A62" s="13" t="s">
        <v>294</v>
      </c>
      <c r="B62" s="13" t="s">
        <v>295</v>
      </c>
      <c r="C62" s="13" t="s">
        <v>241</v>
      </c>
      <c r="D62" s="14">
        <v>0</v>
      </c>
      <c r="E62" s="14">
        <v>0</v>
      </c>
      <c r="F62" s="14">
        <v>0</v>
      </c>
      <c r="G62" s="14">
        <v>0</v>
      </c>
    </row>
    <row r="63" spans="1:7" ht="18.75">
      <c r="A63" s="13" t="s">
        <v>296</v>
      </c>
      <c r="B63" s="13" t="s">
        <v>297</v>
      </c>
      <c r="C63" s="13" t="s">
        <v>206</v>
      </c>
      <c r="D63" s="14">
        <v>2850</v>
      </c>
      <c r="E63" s="14">
        <v>2480</v>
      </c>
      <c r="F63" s="14">
        <v>0</v>
      </c>
      <c r="G63" s="14">
        <v>2397</v>
      </c>
    </row>
    <row r="64" spans="1:7" ht="18.75">
      <c r="A64" s="13" t="s">
        <v>298</v>
      </c>
      <c r="B64" s="13" t="s">
        <v>299</v>
      </c>
      <c r="C64" s="13" t="s">
        <v>176</v>
      </c>
      <c r="D64" s="14">
        <v>0</v>
      </c>
      <c r="E64" s="14">
        <v>0</v>
      </c>
      <c r="F64" s="14">
        <v>0</v>
      </c>
      <c r="G64" s="14">
        <v>0</v>
      </c>
    </row>
    <row r="65" spans="1:7" ht="18.75">
      <c r="A65" s="13" t="s">
        <v>300</v>
      </c>
      <c r="B65" s="13" t="s">
        <v>301</v>
      </c>
      <c r="C65" s="13" t="s">
        <v>176</v>
      </c>
      <c r="D65" s="14">
        <v>1000</v>
      </c>
      <c r="E65" s="14">
        <v>0</v>
      </c>
      <c r="F65" s="14">
        <v>1000</v>
      </c>
      <c r="G65" s="14">
        <v>0</v>
      </c>
    </row>
    <row r="66" spans="1:7" ht="18.75">
      <c r="A66" s="13" t="s">
        <v>302</v>
      </c>
      <c r="B66" s="13" t="s">
        <v>303</v>
      </c>
      <c r="C66" s="13" t="s">
        <v>176</v>
      </c>
      <c r="D66" s="14">
        <v>1000</v>
      </c>
      <c r="E66" s="14">
        <v>0</v>
      </c>
      <c r="F66" s="14">
        <v>1000</v>
      </c>
      <c r="G66" s="14">
        <v>0</v>
      </c>
    </row>
    <row r="67" spans="1:7" ht="18.75">
      <c r="A67" s="13" t="s">
        <v>304</v>
      </c>
      <c r="B67" s="13" t="s">
        <v>305</v>
      </c>
      <c r="C67" s="13" t="s">
        <v>176</v>
      </c>
      <c r="D67" s="14">
        <v>250</v>
      </c>
      <c r="E67" s="14">
        <v>0</v>
      </c>
      <c r="F67" s="14">
        <v>0</v>
      </c>
      <c r="G67" s="14">
        <v>0</v>
      </c>
    </row>
    <row r="68" spans="1:7" ht="18.75">
      <c r="A68" s="13" t="s">
        <v>306</v>
      </c>
      <c r="B68" s="13" t="s">
        <v>307</v>
      </c>
      <c r="C68" s="13" t="s">
        <v>206</v>
      </c>
      <c r="D68" s="14">
        <v>2800</v>
      </c>
      <c r="E68" s="14">
        <v>2480</v>
      </c>
      <c r="F68" s="14">
        <v>0</v>
      </c>
      <c r="G68" s="14">
        <v>2357</v>
      </c>
    </row>
    <row r="69" spans="1:7" ht="18.75">
      <c r="A69" s="13" t="s">
        <v>308</v>
      </c>
      <c r="B69" s="13" t="s">
        <v>309</v>
      </c>
      <c r="C69" s="13" t="s">
        <v>176</v>
      </c>
      <c r="D69" s="14">
        <v>0</v>
      </c>
      <c r="E69" s="14">
        <v>0</v>
      </c>
      <c r="F69" s="14">
        <v>0</v>
      </c>
      <c r="G69" s="14">
        <v>0</v>
      </c>
    </row>
    <row r="70" spans="1:7" ht="18.75">
      <c r="A70" s="13" t="s">
        <v>310</v>
      </c>
      <c r="B70" s="13" t="s">
        <v>311</v>
      </c>
      <c r="C70" s="13" t="s">
        <v>176</v>
      </c>
      <c r="D70" s="14">
        <v>2750</v>
      </c>
      <c r="E70" s="14">
        <v>2360</v>
      </c>
      <c r="F70" s="14">
        <v>2750</v>
      </c>
      <c r="G70" s="14">
        <v>0</v>
      </c>
    </row>
    <row r="71" spans="1:7" ht="18.75">
      <c r="A71" s="13" t="s">
        <v>312</v>
      </c>
      <c r="B71" s="13" t="s">
        <v>313</v>
      </c>
      <c r="C71" s="13" t="s">
        <v>241</v>
      </c>
      <c r="D71" s="14">
        <v>0</v>
      </c>
      <c r="E71" s="14">
        <v>0</v>
      </c>
      <c r="F71" s="14">
        <v>0</v>
      </c>
      <c r="G71" s="14">
        <v>0</v>
      </c>
    </row>
    <row r="72" spans="1:7" ht="18.75">
      <c r="A72" s="13" t="s">
        <v>314</v>
      </c>
      <c r="B72" s="13" t="s">
        <v>315</v>
      </c>
      <c r="C72" s="13" t="s">
        <v>206</v>
      </c>
      <c r="D72" s="14">
        <v>2550</v>
      </c>
      <c r="E72" s="14">
        <v>2230</v>
      </c>
      <c r="F72" s="14">
        <v>0</v>
      </c>
      <c r="G72" s="14">
        <v>1970</v>
      </c>
    </row>
    <row r="73" spans="1:7" ht="18.75">
      <c r="A73" s="13" t="s">
        <v>316</v>
      </c>
      <c r="B73" s="13" t="s">
        <v>317</v>
      </c>
      <c r="C73" s="13" t="s">
        <v>241</v>
      </c>
      <c r="D73" s="14">
        <v>0</v>
      </c>
      <c r="E73" s="14">
        <v>0</v>
      </c>
      <c r="F73" s="14">
        <v>0</v>
      </c>
      <c r="G73" s="14">
        <v>0</v>
      </c>
    </row>
    <row r="74" spans="1:7" ht="18.75">
      <c r="A74" s="13" t="s">
        <v>318</v>
      </c>
      <c r="B74" s="13" t="s">
        <v>319</v>
      </c>
      <c r="C74" s="13" t="s">
        <v>176</v>
      </c>
      <c r="D74" s="14">
        <v>2200</v>
      </c>
      <c r="E74" s="14">
        <v>2000</v>
      </c>
      <c r="F74" s="14">
        <v>2200</v>
      </c>
      <c r="G74" s="14">
        <v>0</v>
      </c>
    </row>
    <row r="75" spans="1:7" ht="18.75">
      <c r="A75" s="13" t="s">
        <v>336</v>
      </c>
      <c r="B75" s="13" t="s">
        <v>337</v>
      </c>
      <c r="C75" s="13" t="s">
        <v>241</v>
      </c>
      <c r="D75" s="14">
        <v>0</v>
      </c>
      <c r="E75" s="14">
        <v>0</v>
      </c>
      <c r="F75" s="14">
        <v>0</v>
      </c>
      <c r="G75" s="14">
        <v>0</v>
      </c>
    </row>
    <row r="76" spans="1:7" ht="18.75">
      <c r="A76" s="13" t="s">
        <v>338</v>
      </c>
      <c r="B76" s="13" t="s">
        <v>339</v>
      </c>
      <c r="C76" s="13" t="s">
        <v>179</v>
      </c>
      <c r="D76" s="14">
        <v>1550</v>
      </c>
      <c r="E76" s="14">
        <v>1450</v>
      </c>
      <c r="F76" s="14">
        <v>0</v>
      </c>
      <c r="G76" s="14">
        <v>1432</v>
      </c>
    </row>
    <row r="77" spans="1:7" ht="18.75">
      <c r="A77" s="13" t="s">
        <v>340</v>
      </c>
      <c r="B77" s="13" t="s">
        <v>341</v>
      </c>
      <c r="C77" s="13" t="s">
        <v>176</v>
      </c>
      <c r="D77" s="14">
        <v>0</v>
      </c>
      <c r="E77" s="14">
        <v>0</v>
      </c>
      <c r="F77" s="14">
        <v>0</v>
      </c>
      <c r="G77" s="14">
        <v>0</v>
      </c>
    </row>
    <row r="78" spans="1:7" ht="18.75">
      <c r="A78" s="13" t="s">
        <v>342</v>
      </c>
      <c r="B78" s="13" t="s">
        <v>343</v>
      </c>
      <c r="C78" s="13" t="s">
        <v>179</v>
      </c>
      <c r="D78" s="14">
        <v>1400</v>
      </c>
      <c r="E78" s="14">
        <v>1350</v>
      </c>
      <c r="F78" s="14">
        <v>0</v>
      </c>
      <c r="G78" s="14">
        <v>1400</v>
      </c>
    </row>
    <row r="79" spans="1:7" ht="18.75">
      <c r="A79" s="13" t="s">
        <v>344</v>
      </c>
      <c r="B79" s="13" t="s">
        <v>345</v>
      </c>
      <c r="C79" s="13" t="s">
        <v>241</v>
      </c>
      <c r="D79" s="14">
        <v>0</v>
      </c>
      <c r="E79" s="14">
        <v>0</v>
      </c>
      <c r="F79" s="14">
        <v>0</v>
      </c>
      <c r="G79" s="14">
        <v>36</v>
      </c>
    </row>
    <row r="80" spans="1:7" ht="18.75">
      <c r="A80" s="13" t="s">
        <v>346</v>
      </c>
      <c r="B80" s="13" t="s">
        <v>347</v>
      </c>
      <c r="C80" s="13" t="s">
        <v>206</v>
      </c>
      <c r="D80" s="14">
        <v>1610</v>
      </c>
      <c r="E80" s="14">
        <v>1450</v>
      </c>
      <c r="F80" s="14">
        <v>0</v>
      </c>
      <c r="G80" s="14">
        <v>1502</v>
      </c>
    </row>
    <row r="81" spans="1:7" ht="18.75">
      <c r="A81" s="13" t="s">
        <v>348</v>
      </c>
      <c r="B81" s="13" t="s">
        <v>349</v>
      </c>
      <c r="C81" s="13" t="s">
        <v>176</v>
      </c>
      <c r="D81" s="14">
        <v>0</v>
      </c>
      <c r="E81" s="14">
        <v>0</v>
      </c>
      <c r="F81" s="14">
        <v>0</v>
      </c>
      <c r="G81" s="14">
        <v>0</v>
      </c>
    </row>
    <row r="82" spans="1:7" ht="18.75">
      <c r="A82" s="13" t="s">
        <v>350</v>
      </c>
      <c r="B82" s="13" t="s">
        <v>351</v>
      </c>
      <c r="C82" s="13" t="s">
        <v>179</v>
      </c>
      <c r="D82" s="14">
        <v>1350</v>
      </c>
      <c r="E82" s="14">
        <v>1250</v>
      </c>
      <c r="F82" s="14">
        <v>0</v>
      </c>
      <c r="G82" s="14">
        <v>1276</v>
      </c>
    </row>
    <row r="83" spans="1:7" ht="18.75">
      <c r="A83" s="13" t="s">
        <v>352</v>
      </c>
      <c r="B83" s="13" t="s">
        <v>353</v>
      </c>
      <c r="C83" s="13" t="s">
        <v>176</v>
      </c>
      <c r="D83" s="14">
        <v>0</v>
      </c>
      <c r="E83" s="14">
        <v>0</v>
      </c>
      <c r="F83" s="14">
        <v>0</v>
      </c>
      <c r="G83" s="14">
        <v>0</v>
      </c>
    </row>
    <row r="84" spans="1:7" ht="18.75">
      <c r="A84" s="13" t="s">
        <v>354</v>
      </c>
      <c r="B84" s="13" t="s">
        <v>355</v>
      </c>
      <c r="C84" s="13" t="s">
        <v>179</v>
      </c>
      <c r="D84" s="14">
        <v>1900</v>
      </c>
      <c r="E84" s="14">
        <v>1650</v>
      </c>
      <c r="F84" s="14">
        <v>0</v>
      </c>
      <c r="G84" s="14">
        <v>1605</v>
      </c>
    </row>
    <row r="85" spans="1:7" ht="18.75">
      <c r="A85" s="13" t="s">
        <v>356</v>
      </c>
      <c r="B85" s="13" t="s">
        <v>357</v>
      </c>
      <c r="C85" s="13" t="s">
        <v>241</v>
      </c>
      <c r="D85" s="14">
        <v>0</v>
      </c>
      <c r="E85" s="14">
        <v>0</v>
      </c>
      <c r="F85" s="14">
        <v>0</v>
      </c>
      <c r="G85" s="14">
        <v>0</v>
      </c>
    </row>
    <row r="86" spans="1:7" ht="18.75">
      <c r="A86" s="13" t="s">
        <v>358</v>
      </c>
      <c r="B86" s="13" t="s">
        <v>359</v>
      </c>
      <c r="C86" s="13" t="s">
        <v>206</v>
      </c>
      <c r="D86" s="14">
        <v>1450</v>
      </c>
      <c r="E86" s="14">
        <v>1450</v>
      </c>
      <c r="F86" s="14">
        <v>0</v>
      </c>
      <c r="G86" s="14">
        <v>1428</v>
      </c>
    </row>
    <row r="87" spans="1:7" ht="18.75">
      <c r="A87" s="13" t="s">
        <v>360</v>
      </c>
      <c r="B87" s="13" t="s">
        <v>361</v>
      </c>
      <c r="C87" s="13" t="s">
        <v>176</v>
      </c>
      <c r="D87" s="14">
        <v>0</v>
      </c>
      <c r="E87" s="14">
        <v>0</v>
      </c>
      <c r="F87" s="14">
        <v>0</v>
      </c>
      <c r="G87" s="14">
        <v>0</v>
      </c>
    </row>
    <row r="88" spans="1:7" ht="18.75">
      <c r="A88" s="13" t="s">
        <v>362</v>
      </c>
      <c r="B88" s="13" t="s">
        <v>363</v>
      </c>
      <c r="C88" s="13" t="s">
        <v>179</v>
      </c>
      <c r="D88" s="14">
        <v>1370</v>
      </c>
      <c r="E88" s="14">
        <v>1250</v>
      </c>
      <c r="F88" s="14">
        <v>0</v>
      </c>
      <c r="G88" s="14">
        <v>1255</v>
      </c>
    </row>
    <row r="89" spans="1:7" ht="18.75">
      <c r="A89" s="13" t="s">
        <v>364</v>
      </c>
      <c r="B89" s="13" t="s">
        <v>365</v>
      </c>
      <c r="C89" s="13" t="s">
        <v>176</v>
      </c>
      <c r="D89" s="14">
        <v>0</v>
      </c>
      <c r="E89" s="14">
        <v>0</v>
      </c>
      <c r="F89" s="14">
        <v>0</v>
      </c>
      <c r="G89" s="14">
        <v>0</v>
      </c>
    </row>
    <row r="90" spans="1:7" ht="18.75">
      <c r="A90" s="13" t="s">
        <v>366</v>
      </c>
      <c r="B90" s="13" t="s">
        <v>367</v>
      </c>
      <c r="C90" s="13" t="s">
        <v>206</v>
      </c>
      <c r="D90" s="14">
        <v>2400</v>
      </c>
      <c r="E90" s="14">
        <v>2300</v>
      </c>
      <c r="F90" s="14">
        <v>0</v>
      </c>
      <c r="G90" s="14">
        <v>2397</v>
      </c>
    </row>
    <row r="91" spans="1:7" ht="18.75">
      <c r="A91" s="13" t="s">
        <v>368</v>
      </c>
      <c r="B91" s="13" t="s">
        <v>369</v>
      </c>
      <c r="C91" s="13" t="s">
        <v>176</v>
      </c>
      <c r="D91" s="14">
        <v>0</v>
      </c>
      <c r="E91" s="14">
        <v>0</v>
      </c>
      <c r="F91" s="14">
        <v>0</v>
      </c>
      <c r="G91" s="14">
        <v>0</v>
      </c>
    </row>
    <row r="92" spans="1:7" ht="18.75">
      <c r="A92" s="13" t="s">
        <v>370</v>
      </c>
      <c r="B92" s="13" t="s">
        <v>371</v>
      </c>
      <c r="C92" s="13" t="s">
        <v>206</v>
      </c>
      <c r="D92" s="14">
        <v>1090</v>
      </c>
      <c r="E92" s="14">
        <v>1050</v>
      </c>
      <c r="F92" s="14">
        <v>0</v>
      </c>
      <c r="G92" s="14">
        <v>1086</v>
      </c>
    </row>
    <row r="93" spans="1:7" ht="18.75">
      <c r="A93" s="13" t="s">
        <v>372</v>
      </c>
      <c r="B93" s="13" t="s">
        <v>373</v>
      </c>
      <c r="C93" s="13" t="s">
        <v>179</v>
      </c>
      <c r="D93" s="14">
        <v>0</v>
      </c>
      <c r="E93" s="14">
        <v>0</v>
      </c>
      <c r="F93" s="14">
        <v>0</v>
      </c>
      <c r="G93" s="14">
        <v>0</v>
      </c>
    </row>
    <row r="94" spans="1:7" ht="18.75">
      <c r="A94" s="13" t="s">
        <v>374</v>
      </c>
      <c r="B94" s="13" t="s">
        <v>375</v>
      </c>
      <c r="C94" s="13" t="s">
        <v>206</v>
      </c>
      <c r="D94" s="14">
        <v>2350</v>
      </c>
      <c r="E94" s="14">
        <v>2200</v>
      </c>
      <c r="F94" s="14">
        <v>0</v>
      </c>
      <c r="G94" s="14">
        <v>0</v>
      </c>
    </row>
    <row r="95" spans="1:7" ht="18.75">
      <c r="A95" s="13" t="s">
        <v>376</v>
      </c>
      <c r="B95" s="13" t="s">
        <v>377</v>
      </c>
      <c r="C95" s="13" t="s">
        <v>176</v>
      </c>
      <c r="D95" s="14">
        <v>0</v>
      </c>
      <c r="E95" s="14">
        <v>0</v>
      </c>
      <c r="F95" s="14">
        <v>0</v>
      </c>
      <c r="G95" s="14">
        <v>0</v>
      </c>
    </row>
    <row r="96" spans="1:7" ht="18.75">
      <c r="A96" s="13" t="s">
        <v>378</v>
      </c>
      <c r="B96" s="13" t="s">
        <v>379</v>
      </c>
      <c r="C96" s="13" t="s">
        <v>179</v>
      </c>
      <c r="D96" s="14">
        <v>1400</v>
      </c>
      <c r="E96" s="14">
        <v>1400</v>
      </c>
      <c r="F96" s="14">
        <v>0</v>
      </c>
      <c r="G96" s="14">
        <v>1362</v>
      </c>
    </row>
    <row r="97" spans="1:7" ht="18.75">
      <c r="A97" s="13" t="s">
        <v>380</v>
      </c>
      <c r="B97" s="13" t="s">
        <v>381</v>
      </c>
      <c r="C97" s="13" t="s">
        <v>176</v>
      </c>
      <c r="D97" s="14">
        <v>0</v>
      </c>
      <c r="E97" s="14">
        <v>0</v>
      </c>
      <c r="F97" s="14">
        <v>0</v>
      </c>
      <c r="G97" s="14">
        <v>0</v>
      </c>
    </row>
    <row r="98" spans="1:7" ht="18.75">
      <c r="A98" s="13" t="s">
        <v>382</v>
      </c>
      <c r="B98" s="13" t="s">
        <v>383</v>
      </c>
      <c r="C98" s="13" t="s">
        <v>176</v>
      </c>
      <c r="D98" s="14">
        <v>2000</v>
      </c>
      <c r="E98" s="14">
        <v>0</v>
      </c>
      <c r="F98" s="14">
        <v>0</v>
      </c>
      <c r="G98" s="14">
        <v>0</v>
      </c>
    </row>
    <row r="99" spans="1:7" ht="18.75">
      <c r="A99" s="13" t="s">
        <v>384</v>
      </c>
      <c r="B99" s="13" t="s">
        <v>383</v>
      </c>
      <c r="C99" s="13" t="s">
        <v>176</v>
      </c>
      <c r="D99" s="14">
        <v>875</v>
      </c>
      <c r="E99" s="14">
        <v>0</v>
      </c>
      <c r="F99" s="14">
        <v>0</v>
      </c>
      <c r="G99" s="14">
        <v>0</v>
      </c>
    </row>
    <row r="100" spans="1:7" ht="18.75">
      <c r="A100" s="13" t="s">
        <v>385</v>
      </c>
      <c r="B100" s="13" t="s">
        <v>383</v>
      </c>
      <c r="C100" s="13" t="s">
        <v>176</v>
      </c>
      <c r="D100" s="14">
        <v>0</v>
      </c>
      <c r="E100" s="14">
        <v>0</v>
      </c>
      <c r="F100" s="14">
        <v>0</v>
      </c>
      <c r="G100" s="14">
        <v>0</v>
      </c>
    </row>
    <row r="101" spans="1:7" ht="18.75">
      <c r="A101" s="13" t="s">
        <v>386</v>
      </c>
      <c r="B101" s="13" t="s">
        <v>387</v>
      </c>
      <c r="C101" s="13" t="s">
        <v>176</v>
      </c>
      <c r="D101" s="14">
        <v>3000</v>
      </c>
      <c r="E101" s="14">
        <v>2800</v>
      </c>
      <c r="F101" s="14">
        <v>0</v>
      </c>
      <c r="G101" s="14">
        <v>3004</v>
      </c>
    </row>
    <row r="102" spans="1:7" ht="18.75">
      <c r="A102" s="13" t="s">
        <v>388</v>
      </c>
      <c r="B102" s="13" t="s">
        <v>389</v>
      </c>
      <c r="C102" s="13" t="s">
        <v>176</v>
      </c>
      <c r="D102" s="14">
        <v>0</v>
      </c>
      <c r="E102" s="14">
        <v>0</v>
      </c>
      <c r="F102" s="14">
        <v>0</v>
      </c>
      <c r="G102" s="14">
        <v>0</v>
      </c>
    </row>
    <row r="103" spans="1:7" ht="18.75">
      <c r="A103" s="13" t="s">
        <v>390</v>
      </c>
      <c r="B103" s="13" t="s">
        <v>391</v>
      </c>
      <c r="C103" s="13" t="s">
        <v>176</v>
      </c>
      <c r="D103" s="14">
        <v>0</v>
      </c>
      <c r="E103" s="14">
        <v>0</v>
      </c>
      <c r="F103" s="14">
        <v>0</v>
      </c>
      <c r="G103" s="14">
        <v>0</v>
      </c>
    </row>
    <row r="104" spans="1:7" ht="18.75">
      <c r="A104" s="13" t="s">
        <v>392</v>
      </c>
      <c r="B104" s="13" t="s">
        <v>393</v>
      </c>
      <c r="C104" s="13" t="s">
        <v>206</v>
      </c>
      <c r="D104" s="14">
        <v>1550</v>
      </c>
      <c r="E104" s="14">
        <v>1450</v>
      </c>
      <c r="F104" s="14">
        <v>0</v>
      </c>
      <c r="G104" s="14">
        <v>1383</v>
      </c>
    </row>
    <row r="105" spans="1:7" ht="18.75">
      <c r="A105" s="13" t="s">
        <v>394</v>
      </c>
      <c r="B105" s="13" t="s">
        <v>395</v>
      </c>
      <c r="C105" s="13" t="s">
        <v>206</v>
      </c>
      <c r="D105" s="14">
        <v>0</v>
      </c>
      <c r="E105" s="14">
        <v>0</v>
      </c>
      <c r="F105" s="14">
        <v>0</v>
      </c>
      <c r="G105" s="14">
        <v>0</v>
      </c>
    </row>
    <row r="106" spans="1:7" ht="18.75">
      <c r="A106" s="13" t="s">
        <v>396</v>
      </c>
      <c r="B106" s="13" t="s">
        <v>397</v>
      </c>
      <c r="C106" s="13" t="s">
        <v>176</v>
      </c>
      <c r="D106" s="14">
        <v>0</v>
      </c>
      <c r="E106" s="14">
        <v>0</v>
      </c>
      <c r="F106" s="14">
        <v>0</v>
      </c>
      <c r="G106" s="14">
        <v>0</v>
      </c>
    </row>
    <row r="107" spans="1:7" ht="18.75">
      <c r="A107" s="13" t="s">
        <v>398</v>
      </c>
      <c r="B107" s="13" t="s">
        <v>399</v>
      </c>
      <c r="C107" s="13" t="s">
        <v>176</v>
      </c>
      <c r="D107" s="14">
        <v>0</v>
      </c>
      <c r="E107" s="14">
        <v>0</v>
      </c>
      <c r="F107" s="14">
        <v>0</v>
      </c>
      <c r="G107" s="14">
        <v>0</v>
      </c>
    </row>
    <row r="108" spans="1:7" ht="18.75">
      <c r="A108" s="13" t="s">
        <v>400</v>
      </c>
      <c r="B108" s="13" t="s">
        <v>401</v>
      </c>
      <c r="C108" s="13" t="s">
        <v>176</v>
      </c>
      <c r="D108" s="14">
        <v>0</v>
      </c>
      <c r="E108" s="14">
        <v>0</v>
      </c>
      <c r="F108" s="14">
        <v>0</v>
      </c>
      <c r="G108" s="14">
        <v>0</v>
      </c>
    </row>
    <row r="109" spans="1:7" ht="18.75">
      <c r="A109" s="13" t="s">
        <v>402</v>
      </c>
      <c r="B109" s="13" t="s">
        <v>403</v>
      </c>
      <c r="C109" s="13" t="s">
        <v>176</v>
      </c>
      <c r="D109" s="14">
        <v>0</v>
      </c>
      <c r="E109" s="14">
        <v>0</v>
      </c>
      <c r="F109" s="14">
        <v>0</v>
      </c>
      <c r="G109" s="14">
        <v>0</v>
      </c>
    </row>
    <row r="110" spans="1:7" ht="18.75">
      <c r="A110" s="13" t="s">
        <v>404</v>
      </c>
      <c r="B110" s="13" t="s">
        <v>405</v>
      </c>
      <c r="C110" s="13" t="s">
        <v>176</v>
      </c>
      <c r="D110" s="14">
        <v>1530</v>
      </c>
      <c r="E110" s="14">
        <v>1400</v>
      </c>
      <c r="F110" s="14">
        <v>0</v>
      </c>
      <c r="G110" s="14">
        <v>1408</v>
      </c>
    </row>
    <row r="111" spans="1:7" ht="18.75">
      <c r="A111" s="13" t="s">
        <v>406</v>
      </c>
      <c r="B111" s="13" t="s">
        <v>407</v>
      </c>
      <c r="C111" s="13" t="s">
        <v>176</v>
      </c>
      <c r="D111" s="14">
        <v>0</v>
      </c>
      <c r="E111" s="14">
        <v>0</v>
      </c>
      <c r="F111" s="14">
        <v>0</v>
      </c>
      <c r="G111" s="14">
        <v>0</v>
      </c>
    </row>
    <row r="112" spans="1:7" ht="18.75">
      <c r="A112" s="13" t="s">
        <v>408</v>
      </c>
      <c r="B112" s="13" t="s">
        <v>409</v>
      </c>
      <c r="C112" s="13" t="s">
        <v>176</v>
      </c>
      <c r="D112" s="14">
        <v>1450</v>
      </c>
      <c r="E112" s="14">
        <v>0</v>
      </c>
      <c r="F112" s="14">
        <v>0</v>
      </c>
      <c r="G112" s="14">
        <v>0</v>
      </c>
    </row>
    <row r="113" spans="1:7" ht="18.75">
      <c r="A113" s="13" t="s">
        <v>410</v>
      </c>
      <c r="B113" s="13" t="s">
        <v>411</v>
      </c>
      <c r="C113" s="13" t="s">
        <v>176</v>
      </c>
      <c r="D113" s="14">
        <v>80</v>
      </c>
      <c r="E113" s="14">
        <v>0</v>
      </c>
      <c r="F113" s="14">
        <v>0</v>
      </c>
      <c r="G113" s="14">
        <v>0</v>
      </c>
    </row>
    <row r="114" spans="1:7" ht="18.75">
      <c r="A114" s="13" t="s">
        <v>412</v>
      </c>
      <c r="B114" s="13" t="s">
        <v>413</v>
      </c>
      <c r="C114" s="13" t="s">
        <v>206</v>
      </c>
      <c r="D114" s="14">
        <v>2500</v>
      </c>
      <c r="E114" s="14">
        <v>2300</v>
      </c>
      <c r="F114" s="14">
        <v>0</v>
      </c>
      <c r="G114" s="14">
        <v>2328</v>
      </c>
    </row>
    <row r="115" spans="1:7" ht="18.75">
      <c r="A115" s="13" t="s">
        <v>414</v>
      </c>
      <c r="B115" s="13" t="s">
        <v>415</v>
      </c>
      <c r="C115" s="13" t="s">
        <v>206</v>
      </c>
      <c r="D115" s="14">
        <v>2100</v>
      </c>
      <c r="E115" s="14">
        <v>1800</v>
      </c>
      <c r="F115" s="14">
        <v>0</v>
      </c>
      <c r="G115" s="14">
        <v>1958</v>
      </c>
    </row>
    <row r="116" spans="1:7" ht="18.75">
      <c r="A116" s="13" t="s">
        <v>416</v>
      </c>
      <c r="B116" s="13" t="s">
        <v>417</v>
      </c>
      <c r="C116" s="13" t="s">
        <v>176</v>
      </c>
      <c r="D116" s="14">
        <v>0</v>
      </c>
      <c r="E116" s="14">
        <v>0</v>
      </c>
      <c r="F116" s="14">
        <v>0</v>
      </c>
      <c r="G116" s="14">
        <v>0</v>
      </c>
    </row>
    <row r="117" spans="1:7" ht="18.75">
      <c r="A117" s="13" t="s">
        <v>418</v>
      </c>
      <c r="B117" s="13" t="s">
        <v>419</v>
      </c>
      <c r="C117" s="13" t="s">
        <v>206</v>
      </c>
      <c r="D117" s="14">
        <v>2200</v>
      </c>
      <c r="E117" s="14">
        <v>2100</v>
      </c>
      <c r="F117" s="14">
        <v>0</v>
      </c>
      <c r="G117" s="14">
        <v>0</v>
      </c>
    </row>
    <row r="118" spans="1:7" ht="18.75">
      <c r="A118" s="13" t="s">
        <v>420</v>
      </c>
      <c r="B118" s="13" t="s">
        <v>421</v>
      </c>
      <c r="C118" s="13" t="s">
        <v>206</v>
      </c>
      <c r="D118" s="14">
        <v>2000</v>
      </c>
      <c r="E118" s="14">
        <v>1900</v>
      </c>
      <c r="F118" s="14">
        <v>0</v>
      </c>
      <c r="G118" s="14">
        <v>2000</v>
      </c>
    </row>
    <row r="119" spans="1:7" ht="18.75">
      <c r="A119" s="13" t="s">
        <v>422</v>
      </c>
      <c r="B119" s="13" t="s">
        <v>423</v>
      </c>
      <c r="C119" s="13" t="s">
        <v>241</v>
      </c>
      <c r="D119" s="14">
        <v>120</v>
      </c>
      <c r="E119" s="14">
        <v>0</v>
      </c>
      <c r="F119" s="14">
        <v>0</v>
      </c>
      <c r="G119" s="14">
        <v>0</v>
      </c>
    </row>
    <row r="120" spans="1:7" ht="18.75">
      <c r="A120" s="13" t="s">
        <v>424</v>
      </c>
      <c r="B120" s="13" t="s">
        <v>425</v>
      </c>
      <c r="C120" s="13" t="s">
        <v>176</v>
      </c>
      <c r="D120" s="14">
        <v>2330</v>
      </c>
      <c r="E120" s="14">
        <v>0</v>
      </c>
      <c r="F120" s="14">
        <v>0</v>
      </c>
      <c r="G120" s="14">
        <v>0</v>
      </c>
    </row>
    <row r="121" spans="1:7" ht="18.75">
      <c r="A121" s="13" t="s">
        <v>426</v>
      </c>
      <c r="B121" s="13" t="s">
        <v>427</v>
      </c>
      <c r="C121" s="13" t="s">
        <v>176</v>
      </c>
      <c r="D121" s="14">
        <v>0</v>
      </c>
      <c r="E121" s="14">
        <v>0</v>
      </c>
      <c r="F121" s="14">
        <v>0</v>
      </c>
      <c r="G121" s="14">
        <v>0</v>
      </c>
    </row>
    <row r="122" spans="1:7" ht="18.75">
      <c r="A122" s="13" t="s">
        <v>428</v>
      </c>
      <c r="B122" s="13" t="s">
        <v>429</v>
      </c>
      <c r="C122" s="13" t="s">
        <v>176</v>
      </c>
      <c r="D122" s="14">
        <v>2350</v>
      </c>
      <c r="E122" s="14">
        <v>0</v>
      </c>
      <c r="F122" s="14">
        <v>0</v>
      </c>
      <c r="G122" s="14">
        <v>0</v>
      </c>
    </row>
    <row r="123" spans="1:7" ht="18.75">
      <c r="A123" s="13" t="s">
        <v>430</v>
      </c>
      <c r="B123" s="13" t="s">
        <v>431</v>
      </c>
      <c r="C123" s="13" t="s">
        <v>176</v>
      </c>
      <c r="D123" s="14">
        <v>130</v>
      </c>
      <c r="E123" s="14">
        <v>0</v>
      </c>
      <c r="F123" s="14">
        <v>0</v>
      </c>
      <c r="G123" s="14">
        <v>0</v>
      </c>
    </row>
    <row r="124" spans="1:7" ht="18.75">
      <c r="A124" s="13" t="s">
        <v>432</v>
      </c>
      <c r="B124" s="13" t="s">
        <v>433</v>
      </c>
      <c r="C124" s="13" t="s">
        <v>176</v>
      </c>
      <c r="D124" s="14">
        <v>2550</v>
      </c>
      <c r="E124" s="14">
        <v>2380</v>
      </c>
      <c r="F124" s="14">
        <v>0</v>
      </c>
      <c r="G124" s="14">
        <v>0</v>
      </c>
    </row>
    <row r="125" spans="1:7" ht="18.75">
      <c r="A125" s="13" t="s">
        <v>434</v>
      </c>
      <c r="B125" s="13" t="s">
        <v>435</v>
      </c>
      <c r="C125" s="13" t="s">
        <v>176</v>
      </c>
      <c r="D125" s="14">
        <v>0</v>
      </c>
      <c r="E125" s="14">
        <v>0</v>
      </c>
      <c r="F125" s="14">
        <v>0</v>
      </c>
      <c r="G125" s="14">
        <v>0</v>
      </c>
    </row>
    <row r="126" spans="1:7" ht="18.75">
      <c r="A126" s="13" t="s">
        <v>436</v>
      </c>
      <c r="B126" s="13" t="s">
        <v>437</v>
      </c>
      <c r="C126" s="13" t="s">
        <v>176</v>
      </c>
      <c r="D126" s="14">
        <v>0</v>
      </c>
      <c r="E126" s="14">
        <v>0</v>
      </c>
      <c r="F126" s="14">
        <v>0</v>
      </c>
      <c r="G126" s="14">
        <v>0</v>
      </c>
    </row>
    <row r="127" spans="1:7" ht="18.75">
      <c r="A127" s="13" t="s">
        <v>438</v>
      </c>
      <c r="B127" s="13" t="s">
        <v>439</v>
      </c>
      <c r="C127" s="13" t="s">
        <v>176</v>
      </c>
      <c r="D127" s="14">
        <v>0</v>
      </c>
      <c r="E127" s="14">
        <v>0</v>
      </c>
      <c r="F127" s="14">
        <v>0</v>
      </c>
      <c r="G127" s="14">
        <v>0</v>
      </c>
    </row>
    <row r="128" spans="1:7" ht="18.75">
      <c r="A128" s="13" t="s">
        <v>440</v>
      </c>
      <c r="B128" s="13" t="s">
        <v>441</v>
      </c>
      <c r="C128" s="13" t="s">
        <v>176</v>
      </c>
      <c r="D128" s="14">
        <v>2400</v>
      </c>
      <c r="E128" s="14">
        <v>2200</v>
      </c>
      <c r="F128" s="14">
        <v>2400</v>
      </c>
      <c r="G128" s="14">
        <v>0</v>
      </c>
    </row>
    <row r="129" spans="1:7" ht="18.75">
      <c r="A129" s="13" t="s">
        <v>442</v>
      </c>
      <c r="B129" s="13" t="s">
        <v>443</v>
      </c>
      <c r="C129" s="13" t="s">
        <v>176</v>
      </c>
      <c r="D129" s="14">
        <v>0</v>
      </c>
      <c r="E129" s="14">
        <v>0</v>
      </c>
      <c r="F129" s="14">
        <v>0</v>
      </c>
      <c r="G129" s="14">
        <v>0</v>
      </c>
    </row>
    <row r="130" spans="1:7" ht="18.75">
      <c r="A130" s="13" t="s">
        <v>444</v>
      </c>
      <c r="B130" s="13" t="s">
        <v>445</v>
      </c>
      <c r="C130" s="13" t="s">
        <v>176</v>
      </c>
      <c r="D130" s="14">
        <v>2350</v>
      </c>
      <c r="E130" s="14">
        <v>0</v>
      </c>
      <c r="F130" s="14">
        <v>0</v>
      </c>
      <c r="G130" s="14">
        <v>0</v>
      </c>
    </row>
    <row r="131" spans="1:7" ht="18.75">
      <c r="A131" s="13" t="s">
        <v>446</v>
      </c>
      <c r="B131" s="13" t="s">
        <v>447</v>
      </c>
      <c r="C131" s="13" t="s">
        <v>176</v>
      </c>
      <c r="D131" s="14">
        <v>2000</v>
      </c>
      <c r="E131" s="14">
        <v>0</v>
      </c>
      <c r="F131" s="14">
        <v>0</v>
      </c>
      <c r="G131" s="14">
        <v>0</v>
      </c>
    </row>
    <row r="132" spans="1:7" ht="18.75">
      <c r="A132" s="13" t="s">
        <v>448</v>
      </c>
      <c r="B132" s="13" t="s">
        <v>449</v>
      </c>
      <c r="C132" s="13" t="s">
        <v>176</v>
      </c>
      <c r="D132" s="14">
        <v>0</v>
      </c>
      <c r="E132" s="14">
        <v>0</v>
      </c>
      <c r="F132" s="14">
        <v>0</v>
      </c>
      <c r="G132" s="14">
        <v>0</v>
      </c>
    </row>
    <row r="133" spans="1:7" ht="18.75">
      <c r="A133" s="13" t="s">
        <v>450</v>
      </c>
      <c r="B133" s="13" t="s">
        <v>451</v>
      </c>
      <c r="C133" s="13" t="s">
        <v>176</v>
      </c>
      <c r="D133" s="14">
        <v>2250</v>
      </c>
      <c r="E133" s="14">
        <v>0</v>
      </c>
      <c r="F133" s="14">
        <v>0</v>
      </c>
      <c r="G133" s="14">
        <v>0</v>
      </c>
    </row>
    <row r="134" spans="1:7" ht="18.75">
      <c r="A134" s="13" t="s">
        <v>452</v>
      </c>
      <c r="B134" s="13" t="s">
        <v>453</v>
      </c>
      <c r="C134" s="13" t="s">
        <v>176</v>
      </c>
      <c r="D134" s="14">
        <v>0</v>
      </c>
      <c r="E134" s="14">
        <v>0</v>
      </c>
      <c r="F134" s="14">
        <v>0</v>
      </c>
      <c r="G134" s="14">
        <v>0</v>
      </c>
    </row>
    <row r="135" spans="1:7" ht="18.75">
      <c r="A135" s="13" t="s">
        <v>454</v>
      </c>
      <c r="B135" s="13" t="s">
        <v>455</v>
      </c>
      <c r="C135" s="13" t="s">
        <v>176</v>
      </c>
      <c r="D135" s="14">
        <v>2250</v>
      </c>
      <c r="E135" s="14">
        <v>0</v>
      </c>
      <c r="F135" s="14">
        <v>2250</v>
      </c>
      <c r="G135" s="14">
        <v>0</v>
      </c>
    </row>
    <row r="136" spans="1:7" ht="18.75">
      <c r="A136" s="13" t="s">
        <v>456</v>
      </c>
      <c r="B136" s="13" t="s">
        <v>457</v>
      </c>
      <c r="C136" s="13" t="s">
        <v>176</v>
      </c>
      <c r="D136" s="14">
        <v>2500</v>
      </c>
      <c r="E136" s="14">
        <v>2200</v>
      </c>
      <c r="F136" s="14">
        <v>2500</v>
      </c>
      <c r="G136" s="14">
        <v>0</v>
      </c>
    </row>
    <row r="137" spans="1:7" ht="18.75">
      <c r="A137" s="13" t="s">
        <v>458</v>
      </c>
      <c r="B137" s="13" t="s">
        <v>459</v>
      </c>
      <c r="C137" s="13" t="s">
        <v>206</v>
      </c>
      <c r="D137" s="14">
        <v>1250</v>
      </c>
      <c r="E137" s="14">
        <v>1063</v>
      </c>
      <c r="F137" s="14">
        <v>0</v>
      </c>
      <c r="G137" s="14">
        <v>1063</v>
      </c>
    </row>
    <row r="138" spans="1:7" ht="18.75">
      <c r="A138" s="13" t="s">
        <v>460</v>
      </c>
      <c r="B138" s="13" t="s">
        <v>461</v>
      </c>
      <c r="C138" s="13" t="s">
        <v>176</v>
      </c>
      <c r="D138" s="14">
        <v>0.1</v>
      </c>
      <c r="E138" s="14">
        <v>0</v>
      </c>
      <c r="F138" s="14">
        <v>0</v>
      </c>
      <c r="G138" s="14">
        <v>0</v>
      </c>
    </row>
    <row r="139" spans="1:7" ht="18.75">
      <c r="A139" s="13" t="s">
        <v>462</v>
      </c>
      <c r="B139" s="13" t="s">
        <v>463</v>
      </c>
      <c r="C139" s="13" t="s">
        <v>179</v>
      </c>
      <c r="D139" s="14">
        <v>1250</v>
      </c>
      <c r="E139" s="14">
        <v>1063</v>
      </c>
      <c r="F139" s="14">
        <v>0</v>
      </c>
      <c r="G139" s="14">
        <v>1063</v>
      </c>
    </row>
    <row r="140" spans="1:7" ht="18.75">
      <c r="A140" s="13" t="s">
        <v>464</v>
      </c>
      <c r="B140" s="13" t="s">
        <v>465</v>
      </c>
      <c r="C140" s="13" t="s">
        <v>179</v>
      </c>
      <c r="D140" s="14">
        <v>140</v>
      </c>
      <c r="E140" s="14">
        <v>119</v>
      </c>
      <c r="F140" s="14">
        <v>0</v>
      </c>
      <c r="G140" s="14">
        <v>119</v>
      </c>
    </row>
    <row r="141" spans="1:7" ht="18.75">
      <c r="A141" s="13" t="s">
        <v>466</v>
      </c>
      <c r="B141" s="13" t="s">
        <v>467</v>
      </c>
      <c r="C141" s="13" t="s">
        <v>176</v>
      </c>
      <c r="D141" s="14">
        <v>0.1</v>
      </c>
      <c r="E141" s="14">
        <v>0</v>
      </c>
      <c r="F141" s="14">
        <v>0</v>
      </c>
      <c r="G141" s="14">
        <v>102</v>
      </c>
    </row>
    <row r="142" spans="1:7" ht="18.75">
      <c r="A142" s="13" t="s">
        <v>468</v>
      </c>
      <c r="B142" s="13" t="s">
        <v>469</v>
      </c>
      <c r="C142" s="13" t="s">
        <v>179</v>
      </c>
      <c r="D142" s="14">
        <v>1000</v>
      </c>
      <c r="E142" s="14">
        <v>850</v>
      </c>
      <c r="F142" s="14">
        <v>0</v>
      </c>
      <c r="G142" s="14">
        <v>850</v>
      </c>
    </row>
    <row r="143" spans="1:7" ht="18.75">
      <c r="A143" s="13" t="s">
        <v>470</v>
      </c>
      <c r="B143" s="13" t="s">
        <v>471</v>
      </c>
      <c r="C143" s="13" t="s">
        <v>176</v>
      </c>
      <c r="D143" s="14">
        <v>0.1</v>
      </c>
      <c r="E143" s="14">
        <v>0</v>
      </c>
      <c r="F143" s="14">
        <v>0</v>
      </c>
      <c r="G143" s="14">
        <v>0</v>
      </c>
    </row>
    <row r="144" spans="1:7" ht="18.75">
      <c r="A144" s="13" t="s">
        <v>472</v>
      </c>
      <c r="B144" s="13" t="s">
        <v>473</v>
      </c>
      <c r="C144" s="13" t="s">
        <v>179</v>
      </c>
      <c r="D144" s="14">
        <v>1450</v>
      </c>
      <c r="E144" s="14">
        <v>1233</v>
      </c>
      <c r="F144" s="14">
        <v>0</v>
      </c>
      <c r="G144" s="14">
        <v>1233</v>
      </c>
    </row>
    <row r="145" spans="1:7" ht="18.75">
      <c r="A145" s="13" t="s">
        <v>474</v>
      </c>
      <c r="B145" s="13" t="s">
        <v>475</v>
      </c>
      <c r="C145" s="13" t="s">
        <v>241</v>
      </c>
      <c r="D145" s="14">
        <v>0.1</v>
      </c>
      <c r="E145" s="14">
        <v>0</v>
      </c>
      <c r="F145" s="14">
        <v>0</v>
      </c>
      <c r="G145" s="14">
        <v>0</v>
      </c>
    </row>
    <row r="146" spans="1:7" ht="18.75">
      <c r="A146" s="13" t="s">
        <v>476</v>
      </c>
      <c r="B146" s="13" t="s">
        <v>477</v>
      </c>
      <c r="C146" s="13" t="s">
        <v>179</v>
      </c>
      <c r="D146" s="14">
        <v>1480</v>
      </c>
      <c r="E146" s="14">
        <v>1258</v>
      </c>
      <c r="F146" s="14">
        <v>0</v>
      </c>
      <c r="G146" s="14">
        <v>1258</v>
      </c>
    </row>
    <row r="147" spans="1:7" ht="18.75">
      <c r="A147" s="13" t="s">
        <v>478</v>
      </c>
      <c r="B147" s="13" t="s">
        <v>479</v>
      </c>
      <c r="C147" s="13" t="s">
        <v>241</v>
      </c>
      <c r="D147" s="14">
        <v>0.1</v>
      </c>
      <c r="E147" s="14">
        <v>0</v>
      </c>
      <c r="F147" s="14">
        <v>0</v>
      </c>
      <c r="G147" s="14">
        <v>0</v>
      </c>
    </row>
    <row r="148" spans="1:7" ht="18.75">
      <c r="A148" s="13" t="s">
        <v>480</v>
      </c>
      <c r="B148" s="13" t="s">
        <v>481</v>
      </c>
      <c r="C148" s="13" t="s">
        <v>179</v>
      </c>
      <c r="D148" s="14">
        <v>1300</v>
      </c>
      <c r="E148" s="14">
        <v>1105</v>
      </c>
      <c r="F148" s="14">
        <v>0</v>
      </c>
      <c r="G148" s="14">
        <v>1105</v>
      </c>
    </row>
    <row r="149" spans="1:7" ht="18.75">
      <c r="A149" s="13" t="s">
        <v>482</v>
      </c>
      <c r="B149" s="13" t="s">
        <v>483</v>
      </c>
      <c r="C149" s="13" t="s">
        <v>241</v>
      </c>
      <c r="D149" s="14">
        <v>0.1</v>
      </c>
      <c r="E149" s="14">
        <v>0</v>
      </c>
      <c r="F149" s="14">
        <v>0</v>
      </c>
      <c r="G149" s="14">
        <v>0</v>
      </c>
    </row>
    <row r="150" spans="1:7" ht="18.75">
      <c r="A150" s="13" t="s">
        <v>484</v>
      </c>
      <c r="B150" s="13" t="s">
        <v>485</v>
      </c>
      <c r="C150" s="13" t="s">
        <v>179</v>
      </c>
      <c r="D150" s="14">
        <v>1700</v>
      </c>
      <c r="E150" s="14">
        <v>1445</v>
      </c>
      <c r="F150" s="14">
        <v>0</v>
      </c>
      <c r="G150" s="14">
        <v>1445</v>
      </c>
    </row>
    <row r="151" spans="1:7" ht="18.75">
      <c r="A151" s="13" t="s">
        <v>486</v>
      </c>
      <c r="B151" s="13" t="s">
        <v>487</v>
      </c>
      <c r="C151" s="13" t="s">
        <v>241</v>
      </c>
      <c r="D151" s="14">
        <v>0.1</v>
      </c>
      <c r="E151" s="14">
        <v>0</v>
      </c>
      <c r="F151" s="14">
        <v>0</v>
      </c>
      <c r="G151" s="14">
        <v>0</v>
      </c>
    </row>
    <row r="152" spans="1:7" ht="18.75">
      <c r="A152" s="13" t="s">
        <v>488</v>
      </c>
      <c r="B152" s="13" t="s">
        <v>489</v>
      </c>
      <c r="C152" s="13" t="s">
        <v>206</v>
      </c>
      <c r="D152" s="14">
        <v>1500</v>
      </c>
      <c r="E152" s="14">
        <v>1275</v>
      </c>
      <c r="F152" s="14">
        <v>0</v>
      </c>
      <c r="G152" s="14">
        <v>1275</v>
      </c>
    </row>
    <row r="153" spans="1:7" ht="18.75">
      <c r="A153" s="13" t="s">
        <v>490</v>
      </c>
      <c r="B153" s="13" t="s">
        <v>491</v>
      </c>
      <c r="C153" s="13" t="s">
        <v>241</v>
      </c>
      <c r="D153" s="14">
        <v>0.1</v>
      </c>
      <c r="E153" s="14">
        <v>0</v>
      </c>
      <c r="F153" s="14">
        <v>0</v>
      </c>
      <c r="G153" s="14">
        <v>0</v>
      </c>
    </row>
    <row r="154" spans="1:7" ht="18.75">
      <c r="A154" s="13" t="s">
        <v>492</v>
      </c>
      <c r="B154" s="13" t="s">
        <v>493</v>
      </c>
      <c r="C154" s="13" t="s">
        <v>206</v>
      </c>
      <c r="D154" s="14">
        <v>1530</v>
      </c>
      <c r="E154" s="14">
        <v>1301</v>
      </c>
      <c r="F154" s="14">
        <v>0</v>
      </c>
      <c r="G154" s="14">
        <v>1301</v>
      </c>
    </row>
    <row r="155" spans="1:7" ht="18.75">
      <c r="A155" s="13" t="s">
        <v>494</v>
      </c>
      <c r="B155" s="13" t="s">
        <v>495</v>
      </c>
      <c r="C155" s="13" t="s">
        <v>241</v>
      </c>
      <c r="D155" s="14">
        <v>0.1</v>
      </c>
      <c r="E155" s="14">
        <v>0</v>
      </c>
      <c r="F155" s="14">
        <v>0</v>
      </c>
      <c r="G155" s="14">
        <v>0</v>
      </c>
    </row>
    <row r="156" spans="1:7" ht="18.75">
      <c r="A156" s="13" t="s">
        <v>496</v>
      </c>
      <c r="B156" s="13" t="s">
        <v>497</v>
      </c>
      <c r="C156" s="13" t="s">
        <v>206</v>
      </c>
      <c r="D156" s="14">
        <v>1580</v>
      </c>
      <c r="E156" s="14">
        <v>1343</v>
      </c>
      <c r="F156" s="14">
        <v>0</v>
      </c>
      <c r="G156" s="14">
        <v>1343</v>
      </c>
    </row>
    <row r="157" spans="1:7" ht="18.75">
      <c r="A157" s="13" t="s">
        <v>498</v>
      </c>
      <c r="B157" s="13" t="s">
        <v>499</v>
      </c>
      <c r="C157" s="13" t="s">
        <v>241</v>
      </c>
      <c r="D157" s="14">
        <v>0.1</v>
      </c>
      <c r="E157" s="14">
        <v>0</v>
      </c>
      <c r="F157" s="14">
        <v>0</v>
      </c>
      <c r="G157" s="14">
        <v>0</v>
      </c>
    </row>
    <row r="158" spans="1:7" ht="18.75">
      <c r="A158" s="13" t="s">
        <v>500</v>
      </c>
      <c r="B158" s="13" t="s">
        <v>501</v>
      </c>
      <c r="C158" s="13" t="s">
        <v>206</v>
      </c>
      <c r="D158" s="14">
        <v>2430</v>
      </c>
      <c r="E158" s="14">
        <v>2430</v>
      </c>
      <c r="F158" s="14">
        <v>0</v>
      </c>
      <c r="G158" s="14">
        <v>2325</v>
      </c>
    </row>
    <row r="159" spans="1:7" ht="18.75">
      <c r="A159" s="13" t="s">
        <v>502</v>
      </c>
      <c r="B159" s="13" t="s">
        <v>503</v>
      </c>
      <c r="C159" s="13" t="s">
        <v>176</v>
      </c>
      <c r="D159" s="14">
        <v>0</v>
      </c>
      <c r="E159" s="14">
        <v>0</v>
      </c>
      <c r="F159" s="14">
        <v>0</v>
      </c>
      <c r="G159" s="14">
        <v>0</v>
      </c>
    </row>
    <row r="160" spans="1:7" ht="18.75">
      <c r="A160" s="13" t="s">
        <v>504</v>
      </c>
      <c r="B160" s="13" t="s">
        <v>505</v>
      </c>
      <c r="C160" s="13" t="s">
        <v>179</v>
      </c>
      <c r="D160" s="14">
        <v>710</v>
      </c>
      <c r="E160" s="14">
        <v>0</v>
      </c>
      <c r="F160" s="14">
        <v>0</v>
      </c>
      <c r="G160" s="14">
        <v>0</v>
      </c>
    </row>
    <row r="161" spans="1:7" ht="18.75">
      <c r="A161" s="13" t="s">
        <v>506</v>
      </c>
      <c r="B161" s="13" t="s">
        <v>507</v>
      </c>
      <c r="C161" s="13" t="s">
        <v>176</v>
      </c>
      <c r="D161" s="14">
        <v>0</v>
      </c>
      <c r="E161" s="14">
        <v>0</v>
      </c>
      <c r="F161" s="14">
        <v>0</v>
      </c>
      <c r="G161" s="14">
        <v>0</v>
      </c>
    </row>
    <row r="162" spans="1:7" ht="18.75">
      <c r="A162" s="13" t="s">
        <v>508</v>
      </c>
      <c r="B162" s="13" t="s">
        <v>509</v>
      </c>
      <c r="C162" s="13" t="s">
        <v>179</v>
      </c>
      <c r="D162" s="14">
        <v>680</v>
      </c>
      <c r="E162" s="14">
        <v>0</v>
      </c>
      <c r="F162" s="14">
        <v>0</v>
      </c>
      <c r="G162" s="14">
        <v>0</v>
      </c>
    </row>
    <row r="163" spans="1:7" ht="18.75">
      <c r="A163" s="13" t="s">
        <v>510</v>
      </c>
      <c r="B163" s="13" t="s">
        <v>511</v>
      </c>
      <c r="C163" s="13" t="s">
        <v>176</v>
      </c>
      <c r="D163" s="14">
        <v>0.1</v>
      </c>
      <c r="E163" s="14">
        <v>0</v>
      </c>
      <c r="F163" s="14">
        <v>0</v>
      </c>
      <c r="G163" s="14">
        <v>0</v>
      </c>
    </row>
    <row r="164" spans="1:7" ht="18.75">
      <c r="A164" s="13" t="s">
        <v>512</v>
      </c>
      <c r="B164" s="13" t="s">
        <v>513</v>
      </c>
      <c r="C164" s="13" t="s">
        <v>179</v>
      </c>
      <c r="D164" s="14">
        <v>630</v>
      </c>
      <c r="E164" s="14">
        <v>0</v>
      </c>
      <c r="F164" s="14">
        <v>0</v>
      </c>
      <c r="G164" s="14">
        <v>0</v>
      </c>
    </row>
    <row r="165" spans="1:7" ht="18.75">
      <c r="A165" s="13" t="s">
        <v>514</v>
      </c>
      <c r="B165" s="13" t="s">
        <v>515</v>
      </c>
      <c r="C165" s="13" t="s">
        <v>176</v>
      </c>
      <c r="D165" s="14">
        <v>0</v>
      </c>
      <c r="E165" s="14">
        <v>0</v>
      </c>
      <c r="F165" s="14">
        <v>0</v>
      </c>
      <c r="G165" s="14">
        <v>0</v>
      </c>
    </row>
    <row r="166" spans="1:7" ht="18.75">
      <c r="A166" s="13" t="s">
        <v>516</v>
      </c>
      <c r="B166" s="13" t="s">
        <v>517</v>
      </c>
      <c r="C166" s="13" t="s">
        <v>176</v>
      </c>
      <c r="D166" s="14">
        <v>630</v>
      </c>
      <c r="E166" s="14">
        <v>0</v>
      </c>
      <c r="F166" s="14">
        <v>0</v>
      </c>
      <c r="G166" s="14">
        <v>0</v>
      </c>
    </row>
    <row r="167" spans="1:7" ht="18.75">
      <c r="A167" s="13" t="s">
        <v>518</v>
      </c>
      <c r="B167" s="13" t="s">
        <v>519</v>
      </c>
      <c r="C167" s="13" t="s">
        <v>176</v>
      </c>
      <c r="D167" s="14">
        <v>0</v>
      </c>
      <c r="E167" s="14">
        <v>0</v>
      </c>
      <c r="F167" s="14">
        <v>0</v>
      </c>
      <c r="G167" s="14">
        <v>0</v>
      </c>
    </row>
    <row r="168" spans="1:7" ht="18.75">
      <c r="A168" s="13" t="s">
        <v>520</v>
      </c>
      <c r="B168" s="13" t="s">
        <v>521</v>
      </c>
      <c r="C168" s="13" t="s">
        <v>179</v>
      </c>
      <c r="D168" s="14">
        <v>620</v>
      </c>
      <c r="E168" s="14">
        <v>0</v>
      </c>
      <c r="F168" s="14">
        <v>0</v>
      </c>
      <c r="G168" s="14">
        <v>0</v>
      </c>
    </row>
    <row r="169" spans="1:7" ht="18.75">
      <c r="A169" s="13" t="s">
        <v>522</v>
      </c>
      <c r="B169" s="13" t="s">
        <v>523</v>
      </c>
      <c r="C169" s="13" t="s">
        <v>176</v>
      </c>
      <c r="D169" s="14">
        <v>0</v>
      </c>
      <c r="E169" s="14">
        <v>0</v>
      </c>
      <c r="F169" s="14">
        <v>0</v>
      </c>
      <c r="G169" s="14">
        <v>0</v>
      </c>
    </row>
    <row r="170" spans="1:7" ht="18.75">
      <c r="A170" s="13" t="s">
        <v>524</v>
      </c>
      <c r="B170" s="13" t="s">
        <v>525</v>
      </c>
      <c r="C170" s="13" t="s">
        <v>179</v>
      </c>
      <c r="D170" s="14">
        <v>730</v>
      </c>
      <c r="E170" s="14">
        <v>0</v>
      </c>
      <c r="F170" s="14">
        <v>0</v>
      </c>
      <c r="G170" s="14">
        <v>0</v>
      </c>
    </row>
    <row r="171" spans="1:7" ht="18.75">
      <c r="A171" s="13" t="s">
        <v>526</v>
      </c>
      <c r="B171" s="13" t="s">
        <v>527</v>
      </c>
      <c r="C171" s="13" t="s">
        <v>176</v>
      </c>
      <c r="D171" s="14">
        <v>35</v>
      </c>
      <c r="E171" s="14">
        <v>0</v>
      </c>
      <c r="F171" s="14">
        <v>0</v>
      </c>
      <c r="G171" s="14">
        <v>0</v>
      </c>
    </row>
    <row r="172" spans="1:7" ht="18.75">
      <c r="A172" s="13" t="s">
        <v>528</v>
      </c>
      <c r="B172" s="13" t="s">
        <v>529</v>
      </c>
      <c r="C172" s="13" t="s">
        <v>176</v>
      </c>
      <c r="D172" s="14">
        <v>630</v>
      </c>
      <c r="E172" s="14">
        <v>0</v>
      </c>
      <c r="F172" s="14">
        <v>0</v>
      </c>
      <c r="G172" s="14">
        <v>0</v>
      </c>
    </row>
    <row r="173" spans="1:7" ht="18.75">
      <c r="A173" s="13" t="s">
        <v>530</v>
      </c>
      <c r="B173" s="13" t="s">
        <v>531</v>
      </c>
      <c r="C173" s="13" t="s">
        <v>176</v>
      </c>
      <c r="D173" s="14">
        <v>0</v>
      </c>
      <c r="E173" s="14">
        <v>0</v>
      </c>
      <c r="F173" s="14">
        <v>0</v>
      </c>
      <c r="G173" s="14">
        <v>0</v>
      </c>
    </row>
    <row r="174" spans="1:7" ht="18.75">
      <c r="A174" s="13" t="s">
        <v>532</v>
      </c>
      <c r="B174" s="13" t="s">
        <v>533</v>
      </c>
      <c r="C174" s="13" t="s">
        <v>176</v>
      </c>
      <c r="D174" s="14">
        <v>750</v>
      </c>
      <c r="E174" s="14">
        <v>0</v>
      </c>
      <c r="F174" s="14">
        <v>0</v>
      </c>
      <c r="G174" s="14">
        <v>0</v>
      </c>
    </row>
    <row r="175" spans="1:7" ht="18.75">
      <c r="A175" s="13" t="s">
        <v>534</v>
      </c>
      <c r="B175" s="13" t="s">
        <v>535</v>
      </c>
      <c r="C175" s="13" t="s">
        <v>176</v>
      </c>
      <c r="D175" s="14">
        <v>0</v>
      </c>
      <c r="E175" s="14">
        <v>0</v>
      </c>
      <c r="F175" s="14">
        <v>0</v>
      </c>
      <c r="G175" s="14">
        <v>0</v>
      </c>
    </row>
    <row r="176" spans="1:7" ht="18.75">
      <c r="A176" s="13" t="s">
        <v>536</v>
      </c>
      <c r="B176" s="13" t="s">
        <v>537</v>
      </c>
      <c r="C176" s="13" t="s">
        <v>179</v>
      </c>
      <c r="D176" s="14">
        <v>720</v>
      </c>
      <c r="E176" s="14">
        <v>0</v>
      </c>
      <c r="F176" s="14">
        <v>0</v>
      </c>
      <c r="G176" s="14">
        <v>0</v>
      </c>
    </row>
    <row r="177" spans="1:7" ht="18.75">
      <c r="A177" s="13" t="s">
        <v>538</v>
      </c>
      <c r="B177" s="13" t="s">
        <v>539</v>
      </c>
      <c r="C177" s="13" t="s">
        <v>176</v>
      </c>
      <c r="D177" s="14">
        <v>0</v>
      </c>
      <c r="E177" s="14">
        <v>0</v>
      </c>
      <c r="F177" s="14">
        <v>0</v>
      </c>
      <c r="G177" s="14">
        <v>0</v>
      </c>
    </row>
    <row r="178" spans="1:7" ht="18.75">
      <c r="A178" s="13" t="s">
        <v>540</v>
      </c>
      <c r="B178" s="13" t="s">
        <v>541</v>
      </c>
      <c r="C178" s="13" t="s">
        <v>179</v>
      </c>
      <c r="D178" s="14">
        <v>630</v>
      </c>
      <c r="E178" s="14">
        <v>0</v>
      </c>
      <c r="F178" s="14">
        <v>0</v>
      </c>
      <c r="G178" s="14">
        <v>0</v>
      </c>
    </row>
    <row r="179" spans="1:7" ht="18.75">
      <c r="A179" s="13" t="s">
        <v>542</v>
      </c>
      <c r="B179" s="13" t="s">
        <v>543</v>
      </c>
      <c r="C179" s="13" t="s">
        <v>176</v>
      </c>
      <c r="D179" s="14">
        <v>0</v>
      </c>
      <c r="E179" s="14">
        <v>0</v>
      </c>
      <c r="F179" s="14">
        <v>0</v>
      </c>
      <c r="G179" s="14">
        <v>0</v>
      </c>
    </row>
    <row r="180" spans="1:7" ht="18.75">
      <c r="A180" s="13" t="s">
        <v>544</v>
      </c>
      <c r="B180" s="13" t="s">
        <v>545</v>
      </c>
      <c r="C180" s="13" t="s">
        <v>176</v>
      </c>
      <c r="D180" s="14">
        <v>730</v>
      </c>
      <c r="E180" s="14">
        <v>0</v>
      </c>
      <c r="F180" s="14">
        <v>0</v>
      </c>
      <c r="G180" s="14">
        <v>0</v>
      </c>
    </row>
    <row r="181" spans="1:7" ht="18.75">
      <c r="A181" s="13" t="s">
        <v>546</v>
      </c>
      <c r="B181" s="13" t="s">
        <v>547</v>
      </c>
      <c r="C181" s="13" t="s">
        <v>176</v>
      </c>
      <c r="D181" s="14">
        <v>0</v>
      </c>
      <c r="E181" s="14">
        <v>0</v>
      </c>
      <c r="F181" s="14">
        <v>0</v>
      </c>
      <c r="G181" s="14">
        <v>0</v>
      </c>
    </row>
    <row r="182" spans="1:7" ht="18.75">
      <c r="A182" s="13" t="s">
        <v>548</v>
      </c>
      <c r="B182" s="13" t="s">
        <v>549</v>
      </c>
      <c r="C182" s="13" t="s">
        <v>176</v>
      </c>
      <c r="D182" s="14">
        <v>0</v>
      </c>
      <c r="E182" s="14">
        <v>0</v>
      </c>
      <c r="F182" s="14">
        <v>0</v>
      </c>
      <c r="G182" s="14">
        <v>0</v>
      </c>
    </row>
    <row r="183" spans="1:7" ht="18.75">
      <c r="A183" s="13" t="s">
        <v>550</v>
      </c>
      <c r="B183" s="13" t="s">
        <v>551</v>
      </c>
      <c r="C183" s="13" t="s">
        <v>176</v>
      </c>
      <c r="D183" s="14">
        <v>0</v>
      </c>
      <c r="E183" s="14">
        <v>0</v>
      </c>
      <c r="F183" s="14">
        <v>0</v>
      </c>
      <c r="G183" s="14">
        <v>0</v>
      </c>
    </row>
    <row r="184" spans="1:7" ht="18.75">
      <c r="A184" s="13" t="s">
        <v>552</v>
      </c>
      <c r="B184" s="13" t="s">
        <v>553</v>
      </c>
      <c r="C184" s="13" t="s">
        <v>176</v>
      </c>
      <c r="D184" s="14">
        <v>0</v>
      </c>
      <c r="E184" s="14">
        <v>0</v>
      </c>
      <c r="F184" s="14">
        <v>0</v>
      </c>
      <c r="G184" s="14">
        <v>0</v>
      </c>
    </row>
    <row r="185" spans="1:7" ht="18.75">
      <c r="A185" s="13" t="s">
        <v>554</v>
      </c>
      <c r="B185" s="13" t="s">
        <v>555</v>
      </c>
      <c r="C185" s="13" t="s">
        <v>176</v>
      </c>
      <c r="D185" s="14">
        <v>0</v>
      </c>
      <c r="E185" s="14">
        <v>0</v>
      </c>
      <c r="F185" s="14">
        <v>0</v>
      </c>
      <c r="G185" s="14">
        <v>653</v>
      </c>
    </row>
    <row r="186" spans="1:7" ht="18.75">
      <c r="A186" s="13" t="s">
        <v>556</v>
      </c>
      <c r="B186" s="13" t="s">
        <v>557</v>
      </c>
      <c r="C186" s="13" t="s">
        <v>176</v>
      </c>
      <c r="D186" s="14">
        <v>710</v>
      </c>
      <c r="E186" s="14">
        <v>0</v>
      </c>
      <c r="F186" s="14">
        <v>0</v>
      </c>
      <c r="G186" s="14">
        <v>0</v>
      </c>
    </row>
    <row r="187" spans="1:7" ht="18.75">
      <c r="A187" s="13" t="s">
        <v>558</v>
      </c>
      <c r="B187" s="13" t="s">
        <v>559</v>
      </c>
      <c r="C187" s="13" t="s">
        <v>176</v>
      </c>
      <c r="D187" s="14">
        <v>795</v>
      </c>
      <c r="E187" s="14">
        <v>0</v>
      </c>
      <c r="F187" s="14">
        <v>0</v>
      </c>
      <c r="G187" s="14">
        <v>0</v>
      </c>
    </row>
    <row r="188" spans="1:7" ht="18.75">
      <c r="A188" s="13" t="s">
        <v>560</v>
      </c>
      <c r="B188" s="13" t="s">
        <v>561</v>
      </c>
      <c r="C188" s="13" t="s">
        <v>179</v>
      </c>
      <c r="D188" s="14">
        <v>665</v>
      </c>
      <c r="E188" s="14">
        <v>0</v>
      </c>
      <c r="F188" s="14">
        <v>0</v>
      </c>
      <c r="G188" s="14">
        <v>0</v>
      </c>
    </row>
    <row r="189" spans="1:7" ht="18.75">
      <c r="A189" s="13" t="s">
        <v>562</v>
      </c>
      <c r="B189" s="13" t="s">
        <v>563</v>
      </c>
      <c r="C189" s="13" t="s">
        <v>176</v>
      </c>
      <c r="D189" s="14">
        <v>30</v>
      </c>
      <c r="E189" s="14">
        <v>0</v>
      </c>
      <c r="F189" s="14">
        <v>0</v>
      </c>
      <c r="G189" s="14">
        <v>28</v>
      </c>
    </row>
    <row r="190" spans="1:7" ht="18.75">
      <c r="A190" s="13" t="s">
        <v>564</v>
      </c>
      <c r="B190" s="13" t="s">
        <v>565</v>
      </c>
      <c r="C190" s="13" t="s">
        <v>176</v>
      </c>
      <c r="D190" s="14">
        <v>700</v>
      </c>
      <c r="E190" s="14">
        <v>0</v>
      </c>
      <c r="F190" s="14">
        <v>0</v>
      </c>
      <c r="G190" s="14">
        <v>0</v>
      </c>
    </row>
    <row r="191" spans="1:7" ht="18.75">
      <c r="A191" s="13" t="s">
        <v>566</v>
      </c>
      <c r="B191" s="13" t="s">
        <v>567</v>
      </c>
      <c r="C191" s="13" t="s">
        <v>176</v>
      </c>
      <c r="D191" s="14">
        <v>30</v>
      </c>
      <c r="E191" s="14">
        <v>0</v>
      </c>
      <c r="F191" s="14">
        <v>30</v>
      </c>
      <c r="G191" s="14">
        <v>30</v>
      </c>
    </row>
    <row r="192" spans="1:7" ht="18.75">
      <c r="A192" s="13" t="s">
        <v>568</v>
      </c>
      <c r="B192" s="13" t="s">
        <v>569</v>
      </c>
      <c r="C192" s="13" t="s">
        <v>176</v>
      </c>
      <c r="D192" s="14">
        <v>570</v>
      </c>
      <c r="E192" s="14">
        <v>0</v>
      </c>
      <c r="F192" s="14">
        <v>0</v>
      </c>
      <c r="G192" s="14">
        <v>0</v>
      </c>
    </row>
    <row r="193" spans="1:7" ht="18.75">
      <c r="A193" s="13" t="s">
        <v>570</v>
      </c>
      <c r="B193" s="13" t="s">
        <v>571</v>
      </c>
      <c r="C193" s="13" t="s">
        <v>176</v>
      </c>
      <c r="D193" s="14">
        <v>0</v>
      </c>
      <c r="E193" s="14">
        <v>0</v>
      </c>
      <c r="F193" s="14">
        <v>0</v>
      </c>
      <c r="G193" s="14">
        <v>0</v>
      </c>
    </row>
    <row r="194" spans="1:7" ht="18.75">
      <c r="A194" s="13" t="s">
        <v>572</v>
      </c>
      <c r="B194" s="13" t="s">
        <v>573</v>
      </c>
      <c r="C194" s="13" t="s">
        <v>179</v>
      </c>
      <c r="D194" s="14">
        <v>645</v>
      </c>
      <c r="E194" s="14">
        <v>0</v>
      </c>
      <c r="F194" s="14">
        <v>0</v>
      </c>
      <c r="G194" s="14">
        <v>0</v>
      </c>
    </row>
    <row r="195" spans="1:7" ht="18.75">
      <c r="A195" s="13" t="s">
        <v>574</v>
      </c>
      <c r="B195" s="13" t="s">
        <v>575</v>
      </c>
      <c r="C195" s="13" t="s">
        <v>176</v>
      </c>
      <c r="D195" s="14">
        <v>28.34</v>
      </c>
      <c r="E195" s="14">
        <v>0</v>
      </c>
      <c r="F195" s="14">
        <v>0</v>
      </c>
      <c r="G195" s="14">
        <v>28</v>
      </c>
    </row>
    <row r="196" spans="1:7" ht="18.75">
      <c r="A196" s="13" t="s">
        <v>576</v>
      </c>
      <c r="B196" s="13" t="s">
        <v>577</v>
      </c>
      <c r="C196" s="13" t="s">
        <v>179</v>
      </c>
      <c r="D196" s="14">
        <v>645</v>
      </c>
      <c r="E196" s="14">
        <v>0</v>
      </c>
      <c r="F196" s="14">
        <v>0</v>
      </c>
      <c r="G196" s="14">
        <v>0</v>
      </c>
    </row>
    <row r="197" spans="1:7" ht="18.75">
      <c r="A197" s="13" t="s">
        <v>578</v>
      </c>
      <c r="B197" s="13" t="s">
        <v>579</v>
      </c>
      <c r="C197" s="13" t="s">
        <v>176</v>
      </c>
      <c r="D197" s="14">
        <v>0</v>
      </c>
      <c r="E197" s="14">
        <v>0</v>
      </c>
      <c r="F197" s="14">
        <v>0</v>
      </c>
      <c r="G197" s="14">
        <v>0</v>
      </c>
    </row>
    <row r="198" spans="1:7" ht="18.75">
      <c r="A198" s="13" t="s">
        <v>580</v>
      </c>
      <c r="B198" s="13" t="s">
        <v>581</v>
      </c>
      <c r="C198" s="13" t="s">
        <v>176</v>
      </c>
      <c r="D198" s="14">
        <v>510</v>
      </c>
      <c r="E198" s="14">
        <v>0</v>
      </c>
      <c r="F198" s="14">
        <v>510</v>
      </c>
      <c r="G198" s="14">
        <v>0</v>
      </c>
    </row>
    <row r="199" spans="1:7" ht="18.75">
      <c r="A199" s="13" t="s">
        <v>582</v>
      </c>
      <c r="B199" s="13" t="s">
        <v>583</v>
      </c>
      <c r="C199" s="13" t="s">
        <v>176</v>
      </c>
      <c r="D199" s="14">
        <v>0</v>
      </c>
      <c r="E199" s="14">
        <v>0</v>
      </c>
      <c r="F199" s="14">
        <v>0</v>
      </c>
      <c r="G199" s="14">
        <v>0</v>
      </c>
    </row>
    <row r="200" spans="1:7" ht="18.75">
      <c r="A200" s="13" t="s">
        <v>584</v>
      </c>
      <c r="B200" s="13" t="s">
        <v>585</v>
      </c>
      <c r="C200" s="13" t="s">
        <v>176</v>
      </c>
      <c r="D200" s="14">
        <v>645</v>
      </c>
      <c r="E200" s="14">
        <v>0</v>
      </c>
      <c r="F200" s="14">
        <v>0</v>
      </c>
      <c r="G200" s="14">
        <v>0</v>
      </c>
    </row>
    <row r="201" spans="1:7" ht="18.75">
      <c r="A201" s="13" t="s">
        <v>586</v>
      </c>
      <c r="B201" s="13" t="s">
        <v>587</v>
      </c>
      <c r="C201" s="13" t="s">
        <v>176</v>
      </c>
      <c r="D201" s="14">
        <v>570</v>
      </c>
      <c r="E201" s="14">
        <v>0</v>
      </c>
      <c r="F201" s="14">
        <v>0</v>
      </c>
      <c r="G201" s="14">
        <v>0</v>
      </c>
    </row>
    <row r="202" spans="1:7" ht="18.75">
      <c r="A202" s="13" t="s">
        <v>588</v>
      </c>
      <c r="B202" s="13" t="s">
        <v>589</v>
      </c>
      <c r="C202" s="13" t="s">
        <v>176</v>
      </c>
      <c r="D202" s="14">
        <v>0</v>
      </c>
      <c r="E202" s="14">
        <v>0</v>
      </c>
      <c r="F202" s="14">
        <v>0</v>
      </c>
      <c r="G202" s="14">
        <v>0</v>
      </c>
    </row>
    <row r="203" spans="1:7" ht="18.75">
      <c r="A203" s="13" t="s">
        <v>590</v>
      </c>
      <c r="B203" s="13" t="s">
        <v>591</v>
      </c>
      <c r="C203" s="13" t="s">
        <v>176</v>
      </c>
      <c r="D203" s="14">
        <v>85</v>
      </c>
      <c r="E203" s="14">
        <v>0</v>
      </c>
      <c r="F203" s="14">
        <v>0</v>
      </c>
      <c r="G203" s="14">
        <v>0</v>
      </c>
    </row>
    <row r="204" spans="1:7" ht="18.75">
      <c r="A204" s="13" t="s">
        <v>592</v>
      </c>
      <c r="B204" s="13" t="s">
        <v>593</v>
      </c>
      <c r="C204" s="13" t="s">
        <v>179</v>
      </c>
      <c r="D204" s="14">
        <v>570</v>
      </c>
      <c r="E204" s="14">
        <v>0</v>
      </c>
      <c r="F204" s="14">
        <v>0</v>
      </c>
      <c r="G204" s="14">
        <v>0</v>
      </c>
    </row>
    <row r="205" spans="1:7" ht="18.75">
      <c r="A205" s="13" t="s">
        <v>594</v>
      </c>
      <c r="B205" s="13" t="s">
        <v>595</v>
      </c>
      <c r="C205" s="13" t="s">
        <v>176</v>
      </c>
      <c r="D205" s="14">
        <v>25</v>
      </c>
      <c r="E205" s="14">
        <v>0</v>
      </c>
      <c r="F205" s="14">
        <v>0</v>
      </c>
      <c r="G205" s="14">
        <v>24</v>
      </c>
    </row>
    <row r="206" spans="1:7" ht="18.75">
      <c r="A206" s="13" t="s">
        <v>596</v>
      </c>
      <c r="B206" s="13" t="s">
        <v>597</v>
      </c>
      <c r="C206" s="13" t="s">
        <v>176</v>
      </c>
      <c r="D206" s="14">
        <v>550</v>
      </c>
      <c r="E206" s="14">
        <v>0</v>
      </c>
      <c r="F206" s="14">
        <v>0</v>
      </c>
      <c r="G206" s="14">
        <v>0</v>
      </c>
    </row>
    <row r="207" spans="1:7" ht="18.75">
      <c r="A207" s="13" t="s">
        <v>598</v>
      </c>
      <c r="B207" s="13" t="s">
        <v>599</v>
      </c>
      <c r="C207" s="13" t="s">
        <v>176</v>
      </c>
      <c r="D207" s="14">
        <v>0</v>
      </c>
      <c r="E207" s="14">
        <v>0</v>
      </c>
      <c r="F207" s="14">
        <v>0</v>
      </c>
      <c r="G207" s="14">
        <v>0</v>
      </c>
    </row>
    <row r="208" spans="1:7" ht="18.75">
      <c r="A208" s="13" t="s">
        <v>600</v>
      </c>
      <c r="B208" s="13" t="s">
        <v>601</v>
      </c>
      <c r="C208" s="13" t="s">
        <v>176</v>
      </c>
      <c r="D208" s="14">
        <v>390</v>
      </c>
      <c r="E208" s="14">
        <v>0</v>
      </c>
      <c r="F208" s="14">
        <v>0</v>
      </c>
      <c r="G208" s="14">
        <v>0</v>
      </c>
    </row>
    <row r="209" spans="1:7" ht="18.75">
      <c r="A209" s="13" t="s">
        <v>602</v>
      </c>
      <c r="B209" s="13" t="s">
        <v>603</v>
      </c>
      <c r="C209" s="13" t="s">
        <v>176</v>
      </c>
      <c r="D209" s="14">
        <v>0</v>
      </c>
      <c r="E209" s="14">
        <v>0</v>
      </c>
      <c r="F209" s="14">
        <v>0</v>
      </c>
      <c r="G209" s="14">
        <v>0</v>
      </c>
    </row>
    <row r="210" spans="1:7" ht="18.75">
      <c r="A210" s="13" t="s">
        <v>604</v>
      </c>
      <c r="B210" s="13" t="s">
        <v>605</v>
      </c>
      <c r="C210" s="13" t="s">
        <v>206</v>
      </c>
      <c r="D210" s="14">
        <v>550</v>
      </c>
      <c r="E210" s="14">
        <v>0</v>
      </c>
      <c r="F210" s="14">
        <v>0</v>
      </c>
      <c r="G210" s="14">
        <v>0</v>
      </c>
    </row>
    <row r="211" spans="1:7" ht="18.75">
      <c r="A211" s="13" t="s">
        <v>621</v>
      </c>
      <c r="B211" s="13" t="s">
        <v>622</v>
      </c>
      <c r="C211" s="13" t="s">
        <v>176</v>
      </c>
      <c r="D211" s="14">
        <v>4500</v>
      </c>
      <c r="E211" s="14">
        <v>0</v>
      </c>
      <c r="F211" s="14">
        <v>0</v>
      </c>
      <c r="G211" s="14">
        <v>0</v>
      </c>
    </row>
    <row r="212" spans="1:7" ht="18.75">
      <c r="A212" s="13" t="s">
        <v>623</v>
      </c>
      <c r="B212" s="13" t="s">
        <v>624</v>
      </c>
      <c r="C212" s="13" t="s">
        <v>176</v>
      </c>
      <c r="D212" s="14">
        <v>2500</v>
      </c>
      <c r="E212" s="14">
        <v>0</v>
      </c>
      <c r="F212" s="14">
        <v>0</v>
      </c>
      <c r="G212" s="14">
        <v>0</v>
      </c>
    </row>
    <row r="213" spans="1:7" ht="18.75">
      <c r="A213" s="13" t="s">
        <v>625</v>
      </c>
      <c r="B213" s="13" t="s">
        <v>626</v>
      </c>
      <c r="C213" s="13" t="s">
        <v>176</v>
      </c>
      <c r="D213" s="14">
        <v>1450</v>
      </c>
      <c r="E213" s="14">
        <v>0</v>
      </c>
      <c r="F213" s="14">
        <v>0</v>
      </c>
      <c r="G213" s="14">
        <v>0</v>
      </c>
    </row>
    <row r="214" spans="1:7" ht="18.75">
      <c r="A214" s="13" t="s">
        <v>627</v>
      </c>
      <c r="B214" s="13" t="s">
        <v>628</v>
      </c>
      <c r="C214" s="13" t="s">
        <v>176</v>
      </c>
      <c r="D214" s="14">
        <v>570</v>
      </c>
      <c r="E214" s="14">
        <v>0</v>
      </c>
      <c r="F214" s="14">
        <v>0</v>
      </c>
      <c r="G214" s="14">
        <v>542</v>
      </c>
    </row>
    <row r="215" spans="1:7" ht="18.75">
      <c r="A215" s="13" t="s">
        <v>629</v>
      </c>
      <c r="B215" s="13" t="s">
        <v>630</v>
      </c>
      <c r="C215" s="13" t="s">
        <v>179</v>
      </c>
      <c r="D215" s="14">
        <v>580</v>
      </c>
      <c r="E215" s="14">
        <v>0</v>
      </c>
      <c r="F215" s="14">
        <v>0</v>
      </c>
      <c r="G215" s="14">
        <v>530</v>
      </c>
    </row>
    <row r="216" spans="1:7" ht="18.75">
      <c r="A216" s="13" t="s">
        <v>631</v>
      </c>
      <c r="B216" s="13" t="s">
        <v>632</v>
      </c>
      <c r="C216" s="13" t="s">
        <v>179</v>
      </c>
      <c r="D216" s="14">
        <v>850</v>
      </c>
      <c r="E216" s="14">
        <v>0</v>
      </c>
      <c r="F216" s="14">
        <v>0</v>
      </c>
      <c r="G216" s="14">
        <v>850</v>
      </c>
    </row>
    <row r="217" spans="1:7" ht="18.75">
      <c r="A217" s="13" t="s">
        <v>633</v>
      </c>
      <c r="B217" s="13" t="s">
        <v>634</v>
      </c>
      <c r="C217" s="13" t="s">
        <v>179</v>
      </c>
      <c r="D217" s="14">
        <v>945</v>
      </c>
      <c r="E217" s="14">
        <v>0</v>
      </c>
      <c r="F217" s="14">
        <v>930</v>
      </c>
      <c r="G217" s="14">
        <v>805</v>
      </c>
    </row>
    <row r="218" spans="1:7" ht="18.75">
      <c r="A218" s="13" t="s">
        <v>635</v>
      </c>
      <c r="B218" s="13" t="s">
        <v>636</v>
      </c>
      <c r="C218" s="13" t="s">
        <v>179</v>
      </c>
      <c r="D218" s="14">
        <v>1080</v>
      </c>
      <c r="E218" s="14">
        <v>0</v>
      </c>
      <c r="F218" s="14">
        <v>0</v>
      </c>
      <c r="G218" s="14">
        <v>1060</v>
      </c>
    </row>
    <row r="219" spans="1:7" ht="18.75">
      <c r="A219" s="13" t="s">
        <v>637</v>
      </c>
      <c r="B219" s="13" t="s">
        <v>638</v>
      </c>
      <c r="C219" s="13" t="s">
        <v>176</v>
      </c>
      <c r="D219" s="14">
        <v>2020</v>
      </c>
      <c r="E219" s="14">
        <v>0</v>
      </c>
      <c r="F219" s="14">
        <v>0</v>
      </c>
      <c r="G219" s="14">
        <v>0</v>
      </c>
    </row>
    <row r="220" spans="1:7" ht="18.75">
      <c r="A220" s="13" t="s">
        <v>639</v>
      </c>
      <c r="B220" s="13" t="s">
        <v>640</v>
      </c>
      <c r="C220" s="13" t="s">
        <v>176</v>
      </c>
      <c r="D220" s="14">
        <v>800</v>
      </c>
      <c r="E220" s="14">
        <v>0</v>
      </c>
      <c r="F220" s="14">
        <v>0</v>
      </c>
      <c r="G220" s="14">
        <v>0</v>
      </c>
    </row>
    <row r="221" spans="1:7" ht="18.75">
      <c r="A221" s="13" t="s">
        <v>641</v>
      </c>
      <c r="B221" s="13" t="s">
        <v>642</v>
      </c>
      <c r="C221" s="13" t="s">
        <v>176</v>
      </c>
      <c r="D221" s="14">
        <v>800</v>
      </c>
      <c r="E221" s="14">
        <v>0</v>
      </c>
      <c r="F221" s="14">
        <v>0</v>
      </c>
      <c r="G221" s="14">
        <v>0</v>
      </c>
    </row>
    <row r="222" spans="1:7" ht="18.75">
      <c r="A222" s="13" t="s">
        <v>643</v>
      </c>
      <c r="B222" s="13" t="s">
        <v>644</v>
      </c>
      <c r="C222" s="13" t="s">
        <v>176</v>
      </c>
      <c r="D222" s="14">
        <v>60</v>
      </c>
      <c r="E222" s="14">
        <v>0</v>
      </c>
      <c r="F222" s="14">
        <v>0</v>
      </c>
      <c r="G222" s="14">
        <v>0</v>
      </c>
    </row>
    <row r="223" spans="1:7" ht="18.75">
      <c r="A223" s="13" t="s">
        <v>645</v>
      </c>
      <c r="B223" s="13" t="s">
        <v>646</v>
      </c>
      <c r="C223" s="13" t="s">
        <v>176</v>
      </c>
      <c r="D223" s="14">
        <v>600</v>
      </c>
      <c r="E223" s="14">
        <v>0</v>
      </c>
      <c r="F223" s="14">
        <v>0</v>
      </c>
      <c r="G223" s="14">
        <v>0</v>
      </c>
    </row>
    <row r="224" spans="1:7" ht="18.75">
      <c r="A224" s="13" t="s">
        <v>647</v>
      </c>
      <c r="B224" s="13" t="s">
        <v>648</v>
      </c>
      <c r="C224" s="13" t="s">
        <v>176</v>
      </c>
      <c r="D224" s="14">
        <v>480</v>
      </c>
      <c r="E224" s="14">
        <v>0</v>
      </c>
      <c r="F224" s="14">
        <v>0</v>
      </c>
      <c r="G224" s="14">
        <v>0</v>
      </c>
    </row>
    <row r="225" spans="1:7" ht="18.75">
      <c r="A225" s="13" t="s">
        <v>649</v>
      </c>
      <c r="B225" s="13" t="s">
        <v>650</v>
      </c>
      <c r="C225" s="13" t="s">
        <v>206</v>
      </c>
      <c r="D225" s="14">
        <v>850</v>
      </c>
      <c r="E225" s="14">
        <v>0</v>
      </c>
      <c r="F225" s="14">
        <v>0</v>
      </c>
      <c r="G225" s="14">
        <v>0</v>
      </c>
    </row>
    <row r="226" spans="1:7" ht="18.75">
      <c r="A226" s="13" t="s">
        <v>651</v>
      </c>
      <c r="B226" s="13" t="s">
        <v>652</v>
      </c>
      <c r="C226" s="13" t="s">
        <v>176</v>
      </c>
      <c r="D226" s="14">
        <v>1450</v>
      </c>
      <c r="E226" s="14">
        <v>0</v>
      </c>
      <c r="F226" s="14">
        <v>0</v>
      </c>
      <c r="G226" s="14">
        <v>1024</v>
      </c>
    </row>
    <row r="227" spans="1:7" ht="18.75">
      <c r="A227" s="13" t="s">
        <v>653</v>
      </c>
      <c r="B227" s="13" t="s">
        <v>654</v>
      </c>
      <c r="C227" s="13" t="s">
        <v>176</v>
      </c>
      <c r="D227" s="14">
        <v>900</v>
      </c>
      <c r="E227" s="14">
        <v>0</v>
      </c>
      <c r="F227" s="14">
        <v>0</v>
      </c>
      <c r="G227" s="14">
        <v>0</v>
      </c>
    </row>
    <row r="228" spans="1:7" ht="18.75">
      <c r="A228" s="13" t="s">
        <v>655</v>
      </c>
      <c r="B228" s="13" t="s">
        <v>656</v>
      </c>
      <c r="C228" s="13" t="s">
        <v>176</v>
      </c>
      <c r="D228" s="14">
        <v>0</v>
      </c>
      <c r="E228" s="14">
        <v>0</v>
      </c>
      <c r="F228" s="14">
        <v>0</v>
      </c>
      <c r="G228" s="14">
        <v>0</v>
      </c>
    </row>
    <row r="229" spans="1:7" ht="18.75">
      <c r="A229" s="13" t="s">
        <v>657</v>
      </c>
      <c r="B229" s="13" t="s">
        <v>658</v>
      </c>
      <c r="C229" s="13" t="s">
        <v>176</v>
      </c>
      <c r="D229" s="14">
        <v>0</v>
      </c>
      <c r="E229" s="14">
        <v>0</v>
      </c>
      <c r="F229" s="14">
        <v>0</v>
      </c>
      <c r="G229" s="14">
        <v>0</v>
      </c>
    </row>
    <row r="230" spans="1:7" ht="18.75">
      <c r="A230" s="13" t="s">
        <v>659</v>
      </c>
      <c r="B230" s="13" t="s">
        <v>660</v>
      </c>
      <c r="C230" s="13" t="s">
        <v>176</v>
      </c>
      <c r="D230" s="14">
        <v>0</v>
      </c>
      <c r="E230" s="14">
        <v>0</v>
      </c>
      <c r="F230" s="14">
        <v>0</v>
      </c>
      <c r="G230" s="14">
        <v>0</v>
      </c>
    </row>
    <row r="231" spans="1:7" ht="18.75">
      <c r="A231" s="13" t="s">
        <v>661</v>
      </c>
      <c r="B231" s="13" t="s">
        <v>662</v>
      </c>
      <c r="C231" s="13" t="s">
        <v>176</v>
      </c>
      <c r="D231" s="14">
        <v>155</v>
      </c>
      <c r="E231" s="14">
        <v>125</v>
      </c>
      <c r="F231" s="14">
        <v>150</v>
      </c>
      <c r="G231" s="14">
        <v>0</v>
      </c>
    </row>
    <row r="232" spans="1:7" ht="18.75">
      <c r="A232" s="13" t="s">
        <v>663</v>
      </c>
      <c r="B232" s="13" t="s">
        <v>664</v>
      </c>
      <c r="C232" s="13" t="s">
        <v>176</v>
      </c>
      <c r="D232" s="14">
        <v>150</v>
      </c>
      <c r="E232" s="14">
        <v>0</v>
      </c>
      <c r="F232" s="14">
        <v>0</v>
      </c>
      <c r="G232" s="14">
        <v>0</v>
      </c>
    </row>
    <row r="233" spans="1:7" ht="18.75">
      <c r="A233" s="13" t="s">
        <v>665</v>
      </c>
      <c r="B233" s="13" t="s">
        <v>666</v>
      </c>
      <c r="C233" s="13" t="s">
        <v>176</v>
      </c>
      <c r="D233" s="14">
        <v>2.5</v>
      </c>
      <c r="E233" s="14">
        <v>0</v>
      </c>
      <c r="F233" s="14">
        <v>0</v>
      </c>
      <c r="G233" s="14">
        <v>2</v>
      </c>
    </row>
    <row r="234" spans="1:7" ht="18.75">
      <c r="A234" s="13" t="s">
        <v>667</v>
      </c>
      <c r="B234" s="13" t="s">
        <v>668</v>
      </c>
      <c r="C234" s="13" t="s">
        <v>176</v>
      </c>
      <c r="D234" s="14">
        <v>4.5</v>
      </c>
      <c r="E234" s="14">
        <v>0</v>
      </c>
      <c r="F234" s="14">
        <v>0</v>
      </c>
      <c r="G234" s="14">
        <v>3</v>
      </c>
    </row>
    <row r="235" spans="1:7" ht="18.75">
      <c r="A235" s="13" t="s">
        <v>669</v>
      </c>
      <c r="B235" s="13" t="s">
        <v>670</v>
      </c>
      <c r="C235" s="13" t="s">
        <v>176</v>
      </c>
      <c r="D235" s="14">
        <v>1.1200000000000001</v>
      </c>
      <c r="E235" s="14">
        <v>0</v>
      </c>
      <c r="F235" s="14">
        <v>0</v>
      </c>
      <c r="G235" s="14">
        <v>1</v>
      </c>
    </row>
    <row r="236" spans="1:7" ht="18.75">
      <c r="A236" s="13" t="s">
        <v>671</v>
      </c>
      <c r="B236" s="13" t="s">
        <v>672</v>
      </c>
      <c r="C236" s="13" t="s">
        <v>606</v>
      </c>
      <c r="D236" s="14">
        <v>0.8</v>
      </c>
      <c r="E236" s="14">
        <v>0</v>
      </c>
      <c r="F236" s="14">
        <v>0</v>
      </c>
      <c r="G236" s="14">
        <v>0.8</v>
      </c>
    </row>
    <row r="237" spans="1:7" ht="18.75">
      <c r="A237" s="13" t="s">
        <v>673</v>
      </c>
      <c r="B237" s="13" t="s">
        <v>674</v>
      </c>
      <c r="C237" s="13" t="s">
        <v>176</v>
      </c>
      <c r="D237" s="14">
        <v>0</v>
      </c>
      <c r="E237" s="14">
        <v>0</v>
      </c>
      <c r="F237" s="14">
        <v>0</v>
      </c>
      <c r="G237" s="14">
        <v>0</v>
      </c>
    </row>
    <row r="238" spans="1:7" ht="18.75">
      <c r="A238" s="13" t="s">
        <v>675</v>
      </c>
      <c r="B238" s="13" t="s">
        <v>676</v>
      </c>
      <c r="C238" s="13" t="s">
        <v>176</v>
      </c>
      <c r="D238" s="14">
        <v>0</v>
      </c>
      <c r="E238" s="14">
        <v>0</v>
      </c>
      <c r="F238" s="14">
        <v>0</v>
      </c>
      <c r="G238" s="14">
        <v>0</v>
      </c>
    </row>
    <row r="239" spans="1:7" ht="18.75">
      <c r="A239" s="13" t="s">
        <v>677</v>
      </c>
      <c r="B239" s="13" t="s">
        <v>678</v>
      </c>
      <c r="C239" s="13" t="s">
        <v>176</v>
      </c>
      <c r="D239" s="14">
        <v>0</v>
      </c>
      <c r="E239" s="14">
        <v>0</v>
      </c>
      <c r="F239" s="14">
        <v>0</v>
      </c>
      <c r="G239" s="14">
        <v>0</v>
      </c>
    </row>
    <row r="240" spans="1:7" ht="18.75">
      <c r="A240" s="13" t="s">
        <v>679</v>
      </c>
      <c r="B240" s="13" t="s">
        <v>680</v>
      </c>
      <c r="C240" s="13" t="s">
        <v>176</v>
      </c>
      <c r="D240" s="14">
        <v>0</v>
      </c>
      <c r="E240" s="14">
        <v>0</v>
      </c>
      <c r="F240" s="14">
        <v>0</v>
      </c>
      <c r="G240" s="14">
        <v>0</v>
      </c>
    </row>
    <row r="241" spans="1:7" ht="18.75">
      <c r="A241" s="13" t="s">
        <v>681</v>
      </c>
      <c r="B241" s="13" t="s">
        <v>682</v>
      </c>
      <c r="C241" s="13" t="s">
        <v>176</v>
      </c>
      <c r="D241" s="14">
        <v>0</v>
      </c>
      <c r="E241" s="14">
        <v>0</v>
      </c>
      <c r="F241" s="14">
        <v>0</v>
      </c>
      <c r="G241" s="14">
        <v>0</v>
      </c>
    </row>
    <row r="242" spans="1:7" ht="18.75">
      <c r="A242" s="13" t="s">
        <v>683</v>
      </c>
      <c r="B242" s="13" t="s">
        <v>684</v>
      </c>
      <c r="C242" s="13" t="s">
        <v>176</v>
      </c>
      <c r="D242" s="14">
        <v>0</v>
      </c>
      <c r="E242" s="14">
        <v>0</v>
      </c>
      <c r="F242" s="14">
        <v>0</v>
      </c>
      <c r="G242" s="14">
        <v>0</v>
      </c>
    </row>
    <row r="243" spans="1:7" ht="18.75">
      <c r="A243" s="13" t="s">
        <v>685</v>
      </c>
      <c r="B243" s="13" t="s">
        <v>686</v>
      </c>
      <c r="C243" s="13" t="s">
        <v>176</v>
      </c>
      <c r="D243" s="14">
        <v>0</v>
      </c>
      <c r="E243" s="14">
        <v>0</v>
      </c>
      <c r="F243" s="14">
        <v>0</v>
      </c>
      <c r="G243" s="14">
        <v>0</v>
      </c>
    </row>
    <row r="244" spans="1:7" ht="18.75">
      <c r="A244" s="13" t="s">
        <v>687</v>
      </c>
      <c r="B244" s="13" t="s">
        <v>688</v>
      </c>
      <c r="C244" s="13" t="s">
        <v>176</v>
      </c>
      <c r="D244" s="14">
        <v>0</v>
      </c>
      <c r="E244" s="14">
        <v>0</v>
      </c>
      <c r="F244" s="14">
        <v>0</v>
      </c>
      <c r="G244" s="14">
        <v>0</v>
      </c>
    </row>
    <row r="245" spans="1:7" ht="18.75">
      <c r="A245" s="13" t="s">
        <v>689</v>
      </c>
      <c r="B245" s="13" t="s">
        <v>690</v>
      </c>
      <c r="C245" s="13" t="s">
        <v>176</v>
      </c>
      <c r="D245" s="14">
        <v>0</v>
      </c>
      <c r="E245" s="14">
        <v>0</v>
      </c>
      <c r="F245" s="14">
        <v>0</v>
      </c>
      <c r="G245" s="14">
        <v>0</v>
      </c>
    </row>
    <row r="246" spans="1:7" ht="18.75">
      <c r="A246" s="13" t="s">
        <v>691</v>
      </c>
      <c r="B246" s="13" t="s">
        <v>692</v>
      </c>
      <c r="C246" s="13" t="s">
        <v>176</v>
      </c>
      <c r="D246" s="14">
        <v>0</v>
      </c>
      <c r="E246" s="14">
        <v>0</v>
      </c>
      <c r="F246" s="14">
        <v>0</v>
      </c>
      <c r="G246" s="14">
        <v>0</v>
      </c>
    </row>
    <row r="247" spans="1:7" ht="18.75">
      <c r="A247" s="13" t="s">
        <v>693</v>
      </c>
      <c r="B247" s="13" t="s">
        <v>694</v>
      </c>
      <c r="C247" s="13" t="s">
        <v>176</v>
      </c>
      <c r="D247" s="14">
        <v>0</v>
      </c>
      <c r="E247" s="14">
        <v>0</v>
      </c>
      <c r="F247" s="14">
        <v>0</v>
      </c>
      <c r="G247" s="14">
        <v>0</v>
      </c>
    </row>
    <row r="248" spans="1:7" ht="18.75">
      <c r="A248" s="13" t="s">
        <v>695</v>
      </c>
      <c r="B248" s="13" t="s">
        <v>696</v>
      </c>
      <c r="C248" s="13" t="s">
        <v>176</v>
      </c>
      <c r="D248" s="14">
        <v>0</v>
      </c>
      <c r="E248" s="14">
        <v>0</v>
      </c>
      <c r="F248" s="14">
        <v>0</v>
      </c>
      <c r="G248" s="14">
        <v>0</v>
      </c>
    </row>
    <row r="249" spans="1:7" ht="18.75">
      <c r="A249" s="13" t="s">
        <v>697</v>
      </c>
      <c r="B249" s="13" t="s">
        <v>698</v>
      </c>
      <c r="C249" s="13" t="s">
        <v>176</v>
      </c>
      <c r="D249" s="14">
        <v>290</v>
      </c>
      <c r="E249" s="14">
        <v>0</v>
      </c>
      <c r="F249" s="14">
        <v>0</v>
      </c>
      <c r="G249" s="14">
        <v>0</v>
      </c>
    </row>
    <row r="250" spans="1:7" ht="18.75">
      <c r="A250" s="13" t="s">
        <v>699</v>
      </c>
      <c r="B250" s="13" t="s">
        <v>700</v>
      </c>
      <c r="C250" s="13" t="s">
        <v>176</v>
      </c>
      <c r="D250" s="14">
        <v>250</v>
      </c>
      <c r="E250" s="14">
        <v>0</v>
      </c>
      <c r="F250" s="14">
        <v>0</v>
      </c>
      <c r="G250" s="14">
        <v>0</v>
      </c>
    </row>
    <row r="251" spans="1:7" ht="18.75">
      <c r="A251" s="13" t="s">
        <v>701</v>
      </c>
      <c r="B251" s="13" t="s">
        <v>702</v>
      </c>
      <c r="C251" s="13" t="s">
        <v>176</v>
      </c>
      <c r="D251" s="14">
        <v>110</v>
      </c>
      <c r="E251" s="14">
        <v>95</v>
      </c>
      <c r="F251" s="14">
        <v>110</v>
      </c>
      <c r="G251" s="14">
        <v>0</v>
      </c>
    </row>
    <row r="252" spans="1:7" ht="18.75">
      <c r="A252" s="13" t="s">
        <v>703</v>
      </c>
      <c r="B252" s="13" t="s">
        <v>704</v>
      </c>
      <c r="C252" s="13" t="s">
        <v>176</v>
      </c>
      <c r="D252" s="14">
        <v>165</v>
      </c>
      <c r="E252" s="14">
        <v>140</v>
      </c>
      <c r="F252" s="14">
        <v>160</v>
      </c>
      <c r="G252" s="14">
        <v>0</v>
      </c>
    </row>
    <row r="253" spans="1:7" ht="18.75">
      <c r="A253" s="13" t="s">
        <v>705</v>
      </c>
      <c r="B253" s="13" t="s">
        <v>706</v>
      </c>
      <c r="C253" s="13" t="s">
        <v>176</v>
      </c>
      <c r="D253" s="14">
        <v>295</v>
      </c>
      <c r="E253" s="14">
        <v>220</v>
      </c>
      <c r="F253" s="14">
        <v>260</v>
      </c>
      <c r="G253" s="14">
        <v>0</v>
      </c>
    </row>
    <row r="254" spans="1:7" ht="18.75">
      <c r="A254" s="13" t="s">
        <v>707</v>
      </c>
      <c r="B254" s="13" t="s">
        <v>708</v>
      </c>
      <c r="C254" s="13" t="s">
        <v>176</v>
      </c>
      <c r="D254" s="14">
        <v>380</v>
      </c>
      <c r="E254" s="14">
        <v>325</v>
      </c>
      <c r="F254" s="14">
        <v>360</v>
      </c>
      <c r="G254" s="14">
        <v>0</v>
      </c>
    </row>
    <row r="255" spans="1:7" ht="18.75">
      <c r="A255" s="13" t="s">
        <v>709</v>
      </c>
      <c r="B255" s="13" t="s">
        <v>710</v>
      </c>
      <c r="C255" s="13" t="s">
        <v>176</v>
      </c>
      <c r="D255" s="14">
        <v>700</v>
      </c>
      <c r="E255" s="14">
        <v>570</v>
      </c>
      <c r="F255" s="14">
        <v>680</v>
      </c>
      <c r="G255" s="14">
        <v>0</v>
      </c>
    </row>
    <row r="256" spans="1:7" ht="18.75">
      <c r="A256" s="13" t="s">
        <v>711</v>
      </c>
      <c r="B256" s="13" t="s">
        <v>712</v>
      </c>
      <c r="C256" s="13" t="s">
        <v>176</v>
      </c>
      <c r="D256" s="14">
        <v>250</v>
      </c>
      <c r="E256" s="14">
        <v>200</v>
      </c>
      <c r="F256" s="14">
        <v>240</v>
      </c>
      <c r="G256" s="14">
        <v>0</v>
      </c>
    </row>
    <row r="257" spans="1:7" ht="18.75">
      <c r="A257" s="13" t="s">
        <v>713</v>
      </c>
      <c r="B257" s="13" t="s">
        <v>714</v>
      </c>
      <c r="C257" s="13" t="s">
        <v>176</v>
      </c>
      <c r="D257" s="14">
        <v>1600</v>
      </c>
      <c r="E257" s="14">
        <v>1350</v>
      </c>
      <c r="F257" s="14">
        <v>1500</v>
      </c>
      <c r="G257" s="14">
        <v>0</v>
      </c>
    </row>
    <row r="258" spans="1:7" ht="18.75">
      <c r="A258" s="13" t="s">
        <v>715</v>
      </c>
      <c r="B258" s="13" t="s">
        <v>716</v>
      </c>
      <c r="C258" s="13" t="s">
        <v>176</v>
      </c>
      <c r="D258" s="14">
        <v>350</v>
      </c>
      <c r="E258" s="14">
        <v>220</v>
      </c>
      <c r="F258" s="14">
        <v>0</v>
      </c>
      <c r="G258" s="14">
        <v>0</v>
      </c>
    </row>
    <row r="259" spans="1:7" ht="18.75">
      <c r="A259" s="13" t="s">
        <v>717</v>
      </c>
      <c r="B259" s="13" t="s">
        <v>718</v>
      </c>
      <c r="C259" s="13" t="s">
        <v>176</v>
      </c>
      <c r="D259" s="14">
        <v>0</v>
      </c>
      <c r="E259" s="14">
        <v>0</v>
      </c>
      <c r="F259" s="14">
        <v>0</v>
      </c>
      <c r="G259" s="14">
        <v>0</v>
      </c>
    </row>
    <row r="260" spans="1:7" ht="18.75">
      <c r="A260" s="13" t="s">
        <v>719</v>
      </c>
      <c r="B260" s="13" t="s">
        <v>720</v>
      </c>
      <c r="C260" s="13" t="s">
        <v>176</v>
      </c>
      <c r="D260" s="14">
        <v>219</v>
      </c>
      <c r="E260" s="14">
        <v>200</v>
      </c>
      <c r="F260" s="14">
        <v>0</v>
      </c>
      <c r="G260" s="14">
        <v>0</v>
      </c>
    </row>
    <row r="261" spans="1:7" ht="18.75">
      <c r="A261" s="13" t="s">
        <v>721</v>
      </c>
      <c r="B261" s="13" t="s">
        <v>722</v>
      </c>
      <c r="C261" s="13" t="s">
        <v>206</v>
      </c>
      <c r="D261" s="14">
        <v>1030</v>
      </c>
      <c r="E261" s="14">
        <v>760</v>
      </c>
      <c r="F261" s="14">
        <v>850</v>
      </c>
      <c r="G261" s="14">
        <v>0</v>
      </c>
    </row>
    <row r="262" spans="1:7" ht="18.75">
      <c r="A262" s="13" t="s">
        <v>723</v>
      </c>
      <c r="B262" s="13" t="s">
        <v>724</v>
      </c>
      <c r="C262" s="13" t="s">
        <v>176</v>
      </c>
      <c r="D262" s="14">
        <v>1000</v>
      </c>
      <c r="E262" s="14">
        <v>760</v>
      </c>
      <c r="F262" s="14">
        <v>860</v>
      </c>
      <c r="G262" s="14">
        <v>711.48</v>
      </c>
    </row>
    <row r="263" spans="1:7" ht="18.75">
      <c r="A263" s="13" t="s">
        <v>725</v>
      </c>
      <c r="B263" s="13" t="s">
        <v>726</v>
      </c>
      <c r="C263" s="13" t="s">
        <v>176</v>
      </c>
      <c r="D263" s="14">
        <v>133</v>
      </c>
      <c r="E263" s="14">
        <v>0</v>
      </c>
      <c r="F263" s="14">
        <v>0</v>
      </c>
      <c r="G263" s="14">
        <v>120</v>
      </c>
    </row>
    <row r="264" spans="1:7" ht="18.75">
      <c r="A264" s="13" t="s">
        <v>727</v>
      </c>
      <c r="B264" s="13" t="s">
        <v>728</v>
      </c>
      <c r="C264" s="13" t="s">
        <v>206</v>
      </c>
      <c r="D264" s="14">
        <v>1178</v>
      </c>
      <c r="E264" s="14">
        <v>1100</v>
      </c>
      <c r="F264" s="14">
        <v>1100</v>
      </c>
      <c r="G264" s="14">
        <v>0</v>
      </c>
    </row>
    <row r="265" spans="1:7" ht="18.75">
      <c r="A265" s="13" t="s">
        <v>729</v>
      </c>
      <c r="B265" s="13" t="s">
        <v>730</v>
      </c>
      <c r="C265" s="13" t="s">
        <v>206</v>
      </c>
      <c r="D265" s="14">
        <v>12960</v>
      </c>
      <c r="E265" s="14">
        <v>0</v>
      </c>
      <c r="F265" s="14">
        <v>11830</v>
      </c>
      <c r="G265" s="14">
        <v>10730</v>
      </c>
    </row>
    <row r="266" spans="1:7" ht="18.75">
      <c r="A266" s="13" t="s">
        <v>731</v>
      </c>
      <c r="B266" s="13" t="s">
        <v>732</v>
      </c>
      <c r="C266" s="13" t="s">
        <v>176</v>
      </c>
      <c r="D266" s="14">
        <v>0</v>
      </c>
      <c r="E266" s="14">
        <v>0</v>
      </c>
      <c r="F266" s="14">
        <v>0</v>
      </c>
      <c r="G266" s="14">
        <v>0</v>
      </c>
    </row>
    <row r="267" spans="1:7" ht="18.75">
      <c r="A267" s="13" t="s">
        <v>733</v>
      </c>
      <c r="B267" s="13" t="s">
        <v>734</v>
      </c>
      <c r="C267" s="13" t="s">
        <v>176</v>
      </c>
      <c r="D267" s="14">
        <v>310</v>
      </c>
      <c r="E267" s="14">
        <v>0</v>
      </c>
      <c r="F267" s="14">
        <v>0</v>
      </c>
      <c r="G267" s="14">
        <v>0</v>
      </c>
    </row>
    <row r="268" spans="1:7" ht="18.75">
      <c r="A268" s="13" t="s">
        <v>735</v>
      </c>
      <c r="B268" s="13" t="s">
        <v>736</v>
      </c>
      <c r="C268" s="13" t="s">
        <v>176</v>
      </c>
      <c r="D268" s="14">
        <v>50</v>
      </c>
      <c r="E268" s="14">
        <v>0</v>
      </c>
      <c r="F268" s="14">
        <v>0</v>
      </c>
      <c r="G268" s="14">
        <v>0</v>
      </c>
    </row>
    <row r="269" spans="1:7" ht="18.75">
      <c r="A269" s="13" t="s">
        <v>737</v>
      </c>
      <c r="B269" s="13" t="s">
        <v>738</v>
      </c>
      <c r="C269" s="13" t="s">
        <v>176</v>
      </c>
      <c r="D269" s="14">
        <v>75</v>
      </c>
      <c r="E269" s="14">
        <v>0</v>
      </c>
      <c r="F269" s="14">
        <v>0</v>
      </c>
      <c r="G269" s="14">
        <v>0</v>
      </c>
    </row>
    <row r="270" spans="1:7" ht="18.75">
      <c r="A270" s="13" t="s">
        <v>739</v>
      </c>
      <c r="B270" s="13" t="s">
        <v>740</v>
      </c>
      <c r="C270" s="13" t="s">
        <v>176</v>
      </c>
      <c r="D270" s="14">
        <v>315</v>
      </c>
      <c r="E270" s="14">
        <v>0</v>
      </c>
      <c r="F270" s="14">
        <v>0</v>
      </c>
      <c r="G270" s="14">
        <v>0</v>
      </c>
    </row>
    <row r="271" spans="1:7" ht="18.75">
      <c r="A271" s="13" t="s">
        <v>741</v>
      </c>
      <c r="B271" s="13" t="s">
        <v>742</v>
      </c>
      <c r="C271" s="13" t="s">
        <v>176</v>
      </c>
      <c r="D271" s="14">
        <v>363</v>
      </c>
      <c r="E271" s="14">
        <v>0</v>
      </c>
      <c r="F271" s="14">
        <v>0</v>
      </c>
      <c r="G271" s="14">
        <v>0</v>
      </c>
    </row>
    <row r="272" spans="1:7" ht="18.75">
      <c r="A272" s="13" t="s">
        <v>743</v>
      </c>
      <c r="B272" s="13" t="s">
        <v>744</v>
      </c>
      <c r="C272" s="13" t="s">
        <v>176</v>
      </c>
      <c r="D272" s="14">
        <v>150</v>
      </c>
      <c r="E272" s="14">
        <v>0</v>
      </c>
      <c r="F272" s="14">
        <v>0</v>
      </c>
      <c r="G272" s="14">
        <v>0</v>
      </c>
    </row>
    <row r="273" spans="1:7" ht="18.75">
      <c r="A273" s="13" t="s">
        <v>745</v>
      </c>
      <c r="B273" s="13" t="s">
        <v>746</v>
      </c>
      <c r="C273" s="13" t="s">
        <v>176</v>
      </c>
      <c r="D273" s="14">
        <v>130</v>
      </c>
      <c r="E273" s="14">
        <v>0</v>
      </c>
      <c r="F273" s="14">
        <v>0</v>
      </c>
      <c r="G273" s="14">
        <v>0</v>
      </c>
    </row>
    <row r="274" spans="1:7" ht="18.75">
      <c r="A274" s="13" t="s">
        <v>747</v>
      </c>
      <c r="B274" s="13" t="s">
        <v>748</v>
      </c>
      <c r="C274" s="13" t="s">
        <v>176</v>
      </c>
      <c r="D274" s="14">
        <v>200</v>
      </c>
      <c r="E274" s="14">
        <v>0</v>
      </c>
      <c r="F274" s="14">
        <v>0</v>
      </c>
      <c r="G274" s="14">
        <v>0</v>
      </c>
    </row>
    <row r="275" spans="1:7" ht="18.75">
      <c r="A275" s="13" t="s">
        <v>749</v>
      </c>
      <c r="B275" s="13" t="s">
        <v>750</v>
      </c>
      <c r="C275" s="13" t="s">
        <v>176</v>
      </c>
      <c r="D275" s="14">
        <v>95</v>
      </c>
      <c r="E275" s="14">
        <v>0</v>
      </c>
      <c r="F275" s="14">
        <v>0</v>
      </c>
      <c r="G275" s="14">
        <v>0</v>
      </c>
    </row>
    <row r="276" spans="1:7" ht="18.75">
      <c r="A276" s="13" t="s">
        <v>751</v>
      </c>
      <c r="B276" s="13" t="s">
        <v>752</v>
      </c>
      <c r="C276" s="13" t="s">
        <v>179</v>
      </c>
      <c r="D276" s="14">
        <v>0.1</v>
      </c>
      <c r="E276" s="14">
        <v>0</v>
      </c>
      <c r="F276" s="14">
        <v>0</v>
      </c>
      <c r="G276" s="14">
        <v>0</v>
      </c>
    </row>
    <row r="277" spans="1:7" ht="18.75">
      <c r="A277" s="13" t="s">
        <v>753</v>
      </c>
      <c r="B277" s="13" t="s">
        <v>754</v>
      </c>
      <c r="C277" s="13" t="s">
        <v>608</v>
      </c>
      <c r="D277" s="14">
        <v>0.1</v>
      </c>
      <c r="E277" s="14">
        <v>0</v>
      </c>
      <c r="F277" s="14">
        <v>0</v>
      </c>
      <c r="G277" s="14">
        <v>0</v>
      </c>
    </row>
    <row r="278" spans="1:7" ht="18.75">
      <c r="A278" s="13" t="s">
        <v>755</v>
      </c>
      <c r="B278" s="13" t="s">
        <v>756</v>
      </c>
      <c r="C278" s="13" t="s">
        <v>608</v>
      </c>
      <c r="D278" s="14">
        <v>0.1</v>
      </c>
      <c r="E278" s="14">
        <v>0</v>
      </c>
      <c r="F278" s="14">
        <v>0</v>
      </c>
      <c r="G278" s="14">
        <v>0</v>
      </c>
    </row>
    <row r="279" spans="1:7" ht="18.75">
      <c r="A279" s="13" t="s">
        <v>757</v>
      </c>
      <c r="B279" s="13" t="s">
        <v>758</v>
      </c>
      <c r="C279" s="13" t="s">
        <v>608</v>
      </c>
      <c r="D279" s="14">
        <v>0.1</v>
      </c>
      <c r="E279" s="14">
        <v>0</v>
      </c>
      <c r="F279" s="14">
        <v>0</v>
      </c>
      <c r="G279" s="14">
        <v>0</v>
      </c>
    </row>
    <row r="280" spans="1:7" ht="18.75">
      <c r="A280" s="13" t="s">
        <v>759</v>
      </c>
      <c r="B280" s="13" t="s">
        <v>760</v>
      </c>
      <c r="C280" s="13" t="s">
        <v>608</v>
      </c>
      <c r="D280" s="14">
        <v>0.1</v>
      </c>
      <c r="E280" s="14">
        <v>0</v>
      </c>
      <c r="F280" s="14">
        <v>0</v>
      </c>
      <c r="G280" s="14">
        <v>0</v>
      </c>
    </row>
    <row r="281" spans="1:7" ht="18.75">
      <c r="A281" s="13" t="s">
        <v>761</v>
      </c>
      <c r="B281" s="13" t="s">
        <v>762</v>
      </c>
      <c r="C281" s="13" t="s">
        <v>608</v>
      </c>
      <c r="D281" s="14">
        <v>0.1</v>
      </c>
      <c r="E281" s="14">
        <v>0</v>
      </c>
      <c r="F281" s="14">
        <v>0</v>
      </c>
      <c r="G281" s="14">
        <v>0</v>
      </c>
    </row>
    <row r="282" spans="1:7" ht="18.75">
      <c r="A282" s="13" t="s">
        <v>763</v>
      </c>
      <c r="B282" s="13" t="s">
        <v>764</v>
      </c>
      <c r="C282" s="13" t="s">
        <v>608</v>
      </c>
      <c r="D282" s="14">
        <v>0.1</v>
      </c>
      <c r="E282" s="14">
        <v>0</v>
      </c>
      <c r="F282" s="14">
        <v>0</v>
      </c>
      <c r="G282" s="14">
        <v>0</v>
      </c>
    </row>
    <row r="283" spans="1:7" ht="18.75">
      <c r="A283" s="13" t="s">
        <v>765</v>
      </c>
      <c r="B283" s="13" t="s">
        <v>766</v>
      </c>
      <c r="C283" s="13" t="s">
        <v>608</v>
      </c>
      <c r="D283" s="14">
        <v>0.1</v>
      </c>
      <c r="E283" s="14">
        <v>0</v>
      </c>
      <c r="F283" s="14">
        <v>0</v>
      </c>
      <c r="G283" s="14">
        <v>0</v>
      </c>
    </row>
    <row r="284" spans="1:7" ht="18.75">
      <c r="A284" s="13" t="s">
        <v>767</v>
      </c>
      <c r="B284" s="13" t="s">
        <v>768</v>
      </c>
      <c r="C284" s="13" t="s">
        <v>608</v>
      </c>
      <c r="D284" s="14">
        <v>0.1</v>
      </c>
      <c r="E284" s="14">
        <v>0</v>
      </c>
      <c r="F284" s="14">
        <v>0</v>
      </c>
      <c r="G284" s="14">
        <v>0</v>
      </c>
    </row>
    <row r="285" spans="1:7" ht="18.75">
      <c r="A285" s="13" t="s">
        <v>769</v>
      </c>
      <c r="B285" s="13" t="s">
        <v>770</v>
      </c>
      <c r="C285" s="13" t="s">
        <v>608</v>
      </c>
      <c r="D285" s="14">
        <v>0.1</v>
      </c>
      <c r="E285" s="14">
        <v>0</v>
      </c>
      <c r="F285" s="14">
        <v>0</v>
      </c>
      <c r="G285" s="14">
        <v>0</v>
      </c>
    </row>
    <row r="286" spans="1:7" ht="18.75">
      <c r="A286" s="13" t="s">
        <v>771</v>
      </c>
      <c r="B286" s="13" t="s">
        <v>772</v>
      </c>
      <c r="C286" s="13" t="s">
        <v>608</v>
      </c>
      <c r="D286" s="14">
        <v>0.1</v>
      </c>
      <c r="E286" s="14">
        <v>0</v>
      </c>
      <c r="F286" s="14">
        <v>0</v>
      </c>
      <c r="G286" s="14">
        <v>0</v>
      </c>
    </row>
    <row r="287" spans="1:7" ht="18.75">
      <c r="A287" s="13" t="s">
        <v>773</v>
      </c>
      <c r="B287" s="13" t="s">
        <v>774</v>
      </c>
      <c r="C287" s="13" t="s">
        <v>608</v>
      </c>
      <c r="D287" s="14">
        <v>0.1</v>
      </c>
      <c r="E287" s="14">
        <v>0</v>
      </c>
      <c r="F287" s="14">
        <v>0</v>
      </c>
      <c r="G287" s="14">
        <v>0</v>
      </c>
    </row>
    <row r="288" spans="1:7" ht="18.75">
      <c r="A288" s="13" t="s">
        <v>775</v>
      </c>
      <c r="B288" s="13" t="s">
        <v>776</v>
      </c>
      <c r="C288" s="13" t="s">
        <v>608</v>
      </c>
      <c r="D288" s="14">
        <v>0.1</v>
      </c>
      <c r="E288" s="14">
        <v>0</v>
      </c>
      <c r="F288" s="14">
        <v>0</v>
      </c>
      <c r="G288" s="14">
        <v>0</v>
      </c>
    </row>
    <row r="289" spans="1:7" ht="18.75">
      <c r="A289" s="13" t="s">
        <v>777</v>
      </c>
      <c r="B289" s="13" t="s">
        <v>778</v>
      </c>
      <c r="C289" s="13" t="s">
        <v>608</v>
      </c>
      <c r="D289" s="14">
        <v>0.1</v>
      </c>
      <c r="E289" s="14">
        <v>0</v>
      </c>
      <c r="F289" s="14">
        <v>0</v>
      </c>
      <c r="G289" s="14">
        <v>0</v>
      </c>
    </row>
    <row r="290" spans="1:7" ht="18.75">
      <c r="A290" s="13" t="s">
        <v>779</v>
      </c>
      <c r="B290" s="13" t="s">
        <v>780</v>
      </c>
      <c r="C290" s="13" t="s">
        <v>179</v>
      </c>
      <c r="D290" s="14">
        <v>0.1</v>
      </c>
      <c r="E290" s="14">
        <v>0</v>
      </c>
      <c r="F290" s="14">
        <v>0</v>
      </c>
      <c r="G290" s="14">
        <v>0</v>
      </c>
    </row>
    <row r="291" spans="1:7" ht="18.75">
      <c r="A291" s="13" t="s">
        <v>781</v>
      </c>
      <c r="B291" s="13" t="s">
        <v>782</v>
      </c>
      <c r="C291" s="13"/>
      <c r="D291" s="14">
        <v>1</v>
      </c>
      <c r="E291" s="14">
        <v>0</v>
      </c>
      <c r="F291" s="14">
        <v>0</v>
      </c>
      <c r="G291" s="14">
        <v>0</v>
      </c>
    </row>
    <row r="292" spans="1:7" ht="18.75">
      <c r="A292" s="13" t="s">
        <v>783</v>
      </c>
      <c r="B292" s="13" t="s">
        <v>784</v>
      </c>
      <c r="C292" s="13"/>
      <c r="D292" s="14">
        <v>1</v>
      </c>
      <c r="E292" s="14">
        <v>0</v>
      </c>
      <c r="F292" s="14">
        <v>0</v>
      </c>
      <c r="G292" s="14">
        <v>0</v>
      </c>
    </row>
    <row r="293" spans="1:7" ht="18.75">
      <c r="A293" s="15" t="s">
        <v>607</v>
      </c>
      <c r="B293" s="15" t="s">
        <v>785</v>
      </c>
      <c r="C293" s="15" t="s">
        <v>176</v>
      </c>
      <c r="D293" s="16">
        <v>0</v>
      </c>
      <c r="E293" s="16">
        <v>55</v>
      </c>
      <c r="F293" s="16">
        <v>75</v>
      </c>
      <c r="G293" s="16">
        <v>55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6B40-3D07-46EA-9B88-F0BE91129F3A}">
  <dimension ref="A1:V217"/>
  <sheetViews>
    <sheetView topLeftCell="I1" zoomScaleNormal="100" workbookViewId="0">
      <selection activeCell="H4" sqref="H4"/>
    </sheetView>
  </sheetViews>
  <sheetFormatPr defaultColWidth="8.85546875" defaultRowHeight="12.75"/>
  <cols>
    <col min="1" max="1" width="14.42578125" bestFit="1" customWidth="1"/>
    <col min="2" max="2" width="48.140625" customWidth="1"/>
    <col min="3" max="3" width="26.140625" customWidth="1"/>
    <col min="4" max="4" width="19.42578125" customWidth="1"/>
    <col min="5" max="5" width="10.85546875" bestFit="1" customWidth="1"/>
    <col min="6" max="6" width="27" customWidth="1"/>
    <col min="7" max="7" width="14" bestFit="1" customWidth="1"/>
    <col min="8" max="8" width="32.140625" customWidth="1"/>
    <col min="9" max="9" width="13.28515625" bestFit="1" customWidth="1"/>
    <col min="10" max="10" width="10.85546875" bestFit="1" customWidth="1"/>
    <col min="11" max="11" width="8.42578125" bestFit="1" customWidth="1"/>
    <col min="12" max="12" width="20.85546875" bestFit="1" customWidth="1"/>
    <col min="13" max="14" width="13.28515625" bestFit="1" customWidth="1"/>
    <col min="15" max="15" width="12.85546875" customWidth="1"/>
    <col min="16" max="16" width="12.85546875" style="5" customWidth="1"/>
    <col min="17" max="17" width="18.28515625" bestFit="1" customWidth="1"/>
    <col min="18" max="20" width="17.7109375" customWidth="1"/>
    <col min="21" max="21" width="15.28515625" customWidth="1"/>
    <col min="22" max="22" width="20.140625" customWidth="1"/>
  </cols>
  <sheetData>
    <row r="1" spans="1:22" ht="15.75" thickBot="1">
      <c r="A1" s="4" t="s">
        <v>1171</v>
      </c>
      <c r="B1" s="4" t="s">
        <v>1174</v>
      </c>
      <c r="C1" s="4" t="s">
        <v>1143</v>
      </c>
      <c r="D1" s="4" t="s">
        <v>1176</v>
      </c>
      <c r="E1" s="4" t="s">
        <v>14</v>
      </c>
      <c r="F1" s="4" t="s">
        <v>1144</v>
      </c>
      <c r="G1" s="4" t="s">
        <v>1145</v>
      </c>
      <c r="H1" s="4" t="s">
        <v>1146</v>
      </c>
      <c r="I1" s="4" t="s">
        <v>1147</v>
      </c>
      <c r="J1" s="4" t="s">
        <v>1148</v>
      </c>
      <c r="K1" s="4" t="s">
        <v>1149</v>
      </c>
      <c r="L1" s="4" t="s">
        <v>1150</v>
      </c>
      <c r="M1" s="4" t="s">
        <v>1151</v>
      </c>
      <c r="N1" s="4" t="s">
        <v>1152</v>
      </c>
      <c r="O1" s="4" t="s">
        <v>1153</v>
      </c>
      <c r="P1" s="3" t="s">
        <v>1154</v>
      </c>
      <c r="Q1" s="4" t="s">
        <v>1155</v>
      </c>
      <c r="R1" s="4" t="s">
        <v>1156</v>
      </c>
      <c r="S1" s="4" t="s">
        <v>1157</v>
      </c>
      <c r="T1" s="4" t="s">
        <v>1158</v>
      </c>
      <c r="U1" s="4" t="s">
        <v>1159</v>
      </c>
      <c r="V1" s="4" t="s">
        <v>1160</v>
      </c>
    </row>
    <row r="2" spans="1:22" ht="19.5" thickTop="1">
      <c r="A2" s="17" t="s">
        <v>177</v>
      </c>
      <c r="B2" s="18" t="s">
        <v>178</v>
      </c>
      <c r="C2" s="18" t="s">
        <v>70</v>
      </c>
      <c r="D2" s="18" t="s">
        <v>71</v>
      </c>
      <c r="E2" s="18"/>
      <c r="F2" s="18"/>
      <c r="G2" s="18" t="s">
        <v>788</v>
      </c>
      <c r="H2" s="18" t="s">
        <v>1161</v>
      </c>
      <c r="I2" s="18"/>
      <c r="J2" s="18" t="s">
        <v>790</v>
      </c>
      <c r="K2" s="18" t="s">
        <v>791</v>
      </c>
      <c r="L2" s="18" t="s">
        <v>792</v>
      </c>
      <c r="M2" s="19">
        <v>0</v>
      </c>
      <c r="N2" s="19">
        <v>5</v>
      </c>
      <c r="O2" s="19">
        <v>4</v>
      </c>
      <c r="P2" s="20">
        <v>1</v>
      </c>
      <c r="Q2" s="19">
        <v>0</v>
      </c>
      <c r="R2" s="19">
        <v>0</v>
      </c>
      <c r="S2" s="19">
        <v>0</v>
      </c>
      <c r="T2" s="19">
        <v>0</v>
      </c>
      <c r="U2" s="18" t="s">
        <v>793</v>
      </c>
      <c r="V2" s="21" t="s">
        <v>794</v>
      </c>
    </row>
    <row r="3" spans="1:22" ht="18.75">
      <c r="A3" s="17" t="s">
        <v>177</v>
      </c>
      <c r="B3" s="18" t="s">
        <v>178</v>
      </c>
      <c r="C3" s="18" t="s">
        <v>70</v>
      </c>
      <c r="D3" s="18" t="s">
        <v>71</v>
      </c>
      <c r="E3" s="18"/>
      <c r="F3" s="18"/>
      <c r="G3" s="18" t="s">
        <v>795</v>
      </c>
      <c r="H3" s="18" t="s">
        <v>796</v>
      </c>
      <c r="I3" s="18"/>
      <c r="J3" s="18" t="s">
        <v>790</v>
      </c>
      <c r="K3" s="18" t="s">
        <v>791</v>
      </c>
      <c r="L3" s="18" t="s">
        <v>792</v>
      </c>
      <c r="M3" s="19">
        <v>0</v>
      </c>
      <c r="N3" s="19">
        <v>2</v>
      </c>
      <c r="O3" s="19">
        <v>1</v>
      </c>
      <c r="P3" s="20">
        <v>1</v>
      </c>
      <c r="Q3" s="19">
        <v>0</v>
      </c>
      <c r="R3" s="19">
        <v>0</v>
      </c>
      <c r="S3" s="19">
        <v>0</v>
      </c>
      <c r="T3" s="19">
        <v>0</v>
      </c>
      <c r="U3" s="18" t="s">
        <v>793</v>
      </c>
      <c r="V3" s="21" t="s">
        <v>797</v>
      </c>
    </row>
    <row r="4" spans="1:22" ht="18.75">
      <c r="A4" s="17" t="s">
        <v>177</v>
      </c>
      <c r="B4" s="18" t="s">
        <v>178</v>
      </c>
      <c r="C4" s="18" t="s">
        <v>70</v>
      </c>
      <c r="D4" s="18" t="s">
        <v>71</v>
      </c>
      <c r="E4" s="18"/>
      <c r="F4" s="18"/>
      <c r="G4" s="18" t="s">
        <v>798</v>
      </c>
      <c r="H4" s="18" t="s">
        <v>799</v>
      </c>
      <c r="I4" s="18"/>
      <c r="J4" s="18" t="s">
        <v>790</v>
      </c>
      <c r="K4" s="18" t="s">
        <v>800</v>
      </c>
      <c r="L4" s="18" t="s">
        <v>801</v>
      </c>
      <c r="M4" s="19">
        <v>0</v>
      </c>
      <c r="N4" s="19">
        <v>5</v>
      </c>
      <c r="O4" s="19">
        <v>0</v>
      </c>
      <c r="P4" s="20">
        <v>5</v>
      </c>
      <c r="Q4" s="19">
        <v>0</v>
      </c>
      <c r="R4" s="19">
        <v>0</v>
      </c>
      <c r="S4" s="19">
        <v>0</v>
      </c>
      <c r="T4" s="19">
        <v>0</v>
      </c>
      <c r="U4" s="18" t="s">
        <v>802</v>
      </c>
      <c r="V4" s="21" t="s">
        <v>803</v>
      </c>
    </row>
    <row r="5" spans="1:22" ht="18.75">
      <c r="A5" s="17" t="s">
        <v>177</v>
      </c>
      <c r="B5" s="18" t="s">
        <v>178</v>
      </c>
      <c r="C5" s="18" t="s">
        <v>70</v>
      </c>
      <c r="D5" s="18" t="s">
        <v>71</v>
      </c>
      <c r="E5" s="18"/>
      <c r="F5" s="18"/>
      <c r="G5" s="18" t="s">
        <v>804</v>
      </c>
      <c r="H5" s="18" t="s">
        <v>805</v>
      </c>
      <c r="I5" s="18"/>
      <c r="J5" s="18" t="s">
        <v>790</v>
      </c>
      <c r="K5" s="18" t="s">
        <v>800</v>
      </c>
      <c r="L5" s="18" t="s">
        <v>801</v>
      </c>
      <c r="M5" s="19">
        <v>0</v>
      </c>
      <c r="N5" s="19">
        <v>5</v>
      </c>
      <c r="O5" s="19">
        <v>2</v>
      </c>
      <c r="P5" s="20">
        <v>3</v>
      </c>
      <c r="Q5" s="19">
        <v>0</v>
      </c>
      <c r="R5" s="19">
        <v>0</v>
      </c>
      <c r="S5" s="19">
        <v>0</v>
      </c>
      <c r="T5" s="19">
        <v>0</v>
      </c>
      <c r="U5" s="18" t="s">
        <v>802</v>
      </c>
      <c r="V5" s="21" t="s">
        <v>806</v>
      </c>
    </row>
    <row r="6" spans="1:22" ht="18.75">
      <c r="A6" s="17" t="s">
        <v>177</v>
      </c>
      <c r="B6" s="18" t="s">
        <v>178</v>
      </c>
      <c r="C6" s="18" t="s">
        <v>70</v>
      </c>
      <c r="D6" s="18" t="s">
        <v>71</v>
      </c>
      <c r="E6" s="18"/>
      <c r="F6" s="18"/>
      <c r="G6" s="18" t="s">
        <v>807</v>
      </c>
      <c r="H6" s="18" t="s">
        <v>808</v>
      </c>
      <c r="I6" s="18" t="s">
        <v>809</v>
      </c>
      <c r="J6" s="18" t="s">
        <v>790</v>
      </c>
      <c r="K6" s="18" t="s">
        <v>810</v>
      </c>
      <c r="L6" s="18" t="s">
        <v>811</v>
      </c>
      <c r="M6" s="19">
        <v>0</v>
      </c>
      <c r="N6" s="19">
        <v>5</v>
      </c>
      <c r="O6" s="19">
        <v>0</v>
      </c>
      <c r="P6" s="20">
        <v>5</v>
      </c>
      <c r="Q6" s="19">
        <v>0</v>
      </c>
      <c r="R6" s="19">
        <v>0</v>
      </c>
      <c r="S6" s="19">
        <v>0</v>
      </c>
      <c r="T6" s="19">
        <v>0</v>
      </c>
      <c r="U6" s="18" t="s">
        <v>47</v>
      </c>
      <c r="V6" s="21" t="s">
        <v>812</v>
      </c>
    </row>
    <row r="7" spans="1:22" ht="18.75">
      <c r="A7" s="17" t="s">
        <v>177</v>
      </c>
      <c r="B7" s="18" t="s">
        <v>178</v>
      </c>
      <c r="C7" s="18" t="s">
        <v>70</v>
      </c>
      <c r="D7" s="18" t="s">
        <v>71</v>
      </c>
      <c r="E7" s="18"/>
      <c r="F7" s="18"/>
      <c r="G7" s="18" t="s">
        <v>813</v>
      </c>
      <c r="H7" s="18" t="s">
        <v>814</v>
      </c>
      <c r="I7" s="18" t="s">
        <v>815</v>
      </c>
      <c r="J7" s="18" t="s">
        <v>790</v>
      </c>
      <c r="K7" s="18" t="s">
        <v>810</v>
      </c>
      <c r="L7" s="18" t="s">
        <v>811</v>
      </c>
      <c r="M7" s="19">
        <v>0</v>
      </c>
      <c r="N7" s="19">
        <v>2</v>
      </c>
      <c r="O7" s="19">
        <v>0</v>
      </c>
      <c r="P7" s="20">
        <v>2</v>
      </c>
      <c r="Q7" s="19">
        <v>0</v>
      </c>
      <c r="R7" s="19">
        <v>0</v>
      </c>
      <c r="S7" s="19">
        <v>0</v>
      </c>
      <c r="T7" s="19">
        <v>0</v>
      </c>
      <c r="U7" s="18" t="s">
        <v>47</v>
      </c>
      <c r="V7" s="21" t="s">
        <v>816</v>
      </c>
    </row>
    <row r="8" spans="1:22" ht="18.75">
      <c r="A8" s="17" t="s">
        <v>177</v>
      </c>
      <c r="B8" s="18" t="s">
        <v>178</v>
      </c>
      <c r="C8" s="18" t="s">
        <v>70</v>
      </c>
      <c r="D8" s="18" t="s">
        <v>71</v>
      </c>
      <c r="E8" s="18"/>
      <c r="F8" s="18"/>
      <c r="G8" s="18" t="s">
        <v>817</v>
      </c>
      <c r="H8" s="18" t="s">
        <v>818</v>
      </c>
      <c r="I8" s="18" t="s">
        <v>819</v>
      </c>
      <c r="J8" s="18" t="s">
        <v>790</v>
      </c>
      <c r="K8" s="18" t="s">
        <v>810</v>
      </c>
      <c r="L8" s="18" t="s">
        <v>811</v>
      </c>
      <c r="M8" s="19">
        <v>0</v>
      </c>
      <c r="N8" s="19">
        <v>1</v>
      </c>
      <c r="O8" s="19">
        <v>0</v>
      </c>
      <c r="P8" s="20">
        <v>1</v>
      </c>
      <c r="Q8" s="19">
        <v>0</v>
      </c>
      <c r="R8" s="19">
        <v>0</v>
      </c>
      <c r="S8" s="19">
        <v>0</v>
      </c>
      <c r="T8" s="19">
        <v>0</v>
      </c>
      <c r="U8" s="18" t="s">
        <v>47</v>
      </c>
      <c r="V8" s="21" t="s">
        <v>820</v>
      </c>
    </row>
    <row r="9" spans="1:22" ht="18.75">
      <c r="A9" s="17" t="s">
        <v>177</v>
      </c>
      <c r="B9" s="18" t="s">
        <v>178</v>
      </c>
      <c r="C9" s="18" t="s">
        <v>70</v>
      </c>
      <c r="D9" s="18" t="s">
        <v>71</v>
      </c>
      <c r="E9" s="18"/>
      <c r="F9" s="18"/>
      <c r="G9" s="18" t="s">
        <v>821</v>
      </c>
      <c r="H9" s="18" t="s">
        <v>822</v>
      </c>
      <c r="I9" s="18" t="s">
        <v>823</v>
      </c>
      <c r="J9" s="18" t="s">
        <v>790</v>
      </c>
      <c r="K9" s="18" t="s">
        <v>824</v>
      </c>
      <c r="L9" s="18" t="s">
        <v>825</v>
      </c>
      <c r="M9" s="19">
        <v>0</v>
      </c>
      <c r="N9" s="19">
        <v>120</v>
      </c>
      <c r="O9" s="19">
        <v>99</v>
      </c>
      <c r="P9" s="20">
        <v>21</v>
      </c>
      <c r="Q9" s="19">
        <v>0</v>
      </c>
      <c r="R9" s="19">
        <v>0</v>
      </c>
      <c r="S9" s="19">
        <v>0</v>
      </c>
      <c r="T9" s="19">
        <v>0</v>
      </c>
      <c r="U9" s="18" t="s">
        <v>826</v>
      </c>
      <c r="V9" s="21" t="s">
        <v>827</v>
      </c>
    </row>
    <row r="10" spans="1:22" ht="18.75">
      <c r="A10" s="17" t="s">
        <v>177</v>
      </c>
      <c r="B10" s="18" t="s">
        <v>178</v>
      </c>
      <c r="C10" s="18" t="s">
        <v>70</v>
      </c>
      <c r="D10" s="18" t="s">
        <v>71</v>
      </c>
      <c r="E10" s="18"/>
      <c r="F10" s="18"/>
      <c r="G10" s="18" t="s">
        <v>821</v>
      </c>
      <c r="H10" s="18" t="s">
        <v>822</v>
      </c>
      <c r="I10" s="18" t="s">
        <v>823</v>
      </c>
      <c r="J10" s="18" t="s">
        <v>790</v>
      </c>
      <c r="K10" s="18" t="s">
        <v>828</v>
      </c>
      <c r="L10" s="18" t="s">
        <v>829</v>
      </c>
      <c r="M10" s="19">
        <v>0</v>
      </c>
      <c r="N10" s="19">
        <v>154</v>
      </c>
      <c r="O10" s="19">
        <v>100</v>
      </c>
      <c r="P10" s="20">
        <v>54</v>
      </c>
      <c r="Q10" s="19">
        <v>0</v>
      </c>
      <c r="R10" s="19">
        <v>0</v>
      </c>
      <c r="S10" s="19">
        <v>0</v>
      </c>
      <c r="T10" s="19">
        <v>0</v>
      </c>
      <c r="U10" s="18" t="s">
        <v>47</v>
      </c>
      <c r="V10" s="21" t="s">
        <v>827</v>
      </c>
    </row>
    <row r="11" spans="1:22" ht="18.75">
      <c r="A11" s="17" t="s">
        <v>177</v>
      </c>
      <c r="B11" s="18" t="s">
        <v>178</v>
      </c>
      <c r="C11" s="18" t="s">
        <v>70</v>
      </c>
      <c r="D11" s="18" t="s">
        <v>71</v>
      </c>
      <c r="E11" s="18"/>
      <c r="F11" s="18"/>
      <c r="G11" s="18" t="s">
        <v>821</v>
      </c>
      <c r="H11" s="18" t="s">
        <v>822</v>
      </c>
      <c r="I11" s="18" t="s">
        <v>823</v>
      </c>
      <c r="J11" s="18" t="s">
        <v>790</v>
      </c>
      <c r="K11" s="18" t="s">
        <v>810</v>
      </c>
      <c r="L11" s="18" t="s">
        <v>811</v>
      </c>
      <c r="M11" s="19">
        <v>0</v>
      </c>
      <c r="N11" s="19">
        <v>7</v>
      </c>
      <c r="O11" s="19">
        <v>0</v>
      </c>
      <c r="P11" s="20">
        <v>7</v>
      </c>
      <c r="Q11" s="19">
        <v>0</v>
      </c>
      <c r="R11" s="19">
        <v>0</v>
      </c>
      <c r="S11" s="19">
        <v>0</v>
      </c>
      <c r="T11" s="19">
        <v>0</v>
      </c>
      <c r="U11" s="18" t="s">
        <v>47</v>
      </c>
      <c r="V11" s="21" t="s">
        <v>827</v>
      </c>
    </row>
    <row r="12" spans="1:22" ht="18.75">
      <c r="A12" s="17" t="s">
        <v>177</v>
      </c>
      <c r="B12" s="18" t="s">
        <v>178</v>
      </c>
      <c r="C12" s="18" t="s">
        <v>70</v>
      </c>
      <c r="D12" s="18" t="s">
        <v>71</v>
      </c>
      <c r="E12" s="18"/>
      <c r="F12" s="18"/>
      <c r="G12" s="18" t="s">
        <v>830</v>
      </c>
      <c r="H12" s="18" t="s">
        <v>831</v>
      </c>
      <c r="I12" s="18" t="s">
        <v>832</v>
      </c>
      <c r="J12" s="18" t="s">
        <v>790</v>
      </c>
      <c r="K12" s="18" t="s">
        <v>824</v>
      </c>
      <c r="L12" s="18" t="s">
        <v>825</v>
      </c>
      <c r="M12" s="19">
        <v>0</v>
      </c>
      <c r="N12" s="19">
        <v>143</v>
      </c>
      <c r="O12" s="19">
        <v>135</v>
      </c>
      <c r="P12" s="20">
        <v>8</v>
      </c>
      <c r="Q12" s="19">
        <v>0</v>
      </c>
      <c r="R12" s="19">
        <v>0</v>
      </c>
      <c r="S12" s="19">
        <v>0</v>
      </c>
      <c r="T12" s="19">
        <v>0</v>
      </c>
      <c r="U12" s="18" t="s">
        <v>826</v>
      </c>
      <c r="V12" s="21" t="s">
        <v>833</v>
      </c>
    </row>
    <row r="13" spans="1:22" ht="18.75">
      <c r="A13" s="17" t="s">
        <v>177</v>
      </c>
      <c r="B13" s="18" t="s">
        <v>178</v>
      </c>
      <c r="C13" s="18" t="s">
        <v>70</v>
      </c>
      <c r="D13" s="18" t="s">
        <v>71</v>
      </c>
      <c r="E13" s="18"/>
      <c r="F13" s="18"/>
      <c r="G13" s="18" t="s">
        <v>834</v>
      </c>
      <c r="H13" s="18" t="s">
        <v>835</v>
      </c>
      <c r="I13" s="18" t="s">
        <v>836</v>
      </c>
      <c r="J13" s="18" t="s">
        <v>790</v>
      </c>
      <c r="K13" s="18" t="s">
        <v>837</v>
      </c>
      <c r="L13" s="18" t="s">
        <v>838</v>
      </c>
      <c r="M13" s="19">
        <v>0</v>
      </c>
      <c r="N13" s="19">
        <v>80</v>
      </c>
      <c r="O13" s="19">
        <v>0</v>
      </c>
      <c r="P13" s="20">
        <v>80</v>
      </c>
      <c r="Q13" s="19">
        <v>0</v>
      </c>
      <c r="R13" s="19">
        <v>0</v>
      </c>
      <c r="S13" s="19">
        <v>0</v>
      </c>
      <c r="T13" s="19">
        <v>0</v>
      </c>
      <c r="U13" s="18" t="s">
        <v>47</v>
      </c>
      <c r="V13" s="21" t="s">
        <v>839</v>
      </c>
    </row>
    <row r="14" spans="1:22" ht="18.75">
      <c r="A14" s="17" t="s">
        <v>177</v>
      </c>
      <c r="B14" s="18" t="s">
        <v>178</v>
      </c>
      <c r="C14" s="18" t="s">
        <v>70</v>
      </c>
      <c r="D14" s="18" t="s">
        <v>71</v>
      </c>
      <c r="E14" s="18"/>
      <c r="F14" s="18"/>
      <c r="G14" s="18" t="s">
        <v>834</v>
      </c>
      <c r="H14" s="18" t="s">
        <v>835</v>
      </c>
      <c r="I14" s="18" t="s">
        <v>836</v>
      </c>
      <c r="J14" s="18" t="s">
        <v>790</v>
      </c>
      <c r="K14" s="18" t="s">
        <v>840</v>
      </c>
      <c r="L14" s="18" t="s">
        <v>841</v>
      </c>
      <c r="M14" s="19">
        <v>0</v>
      </c>
      <c r="N14" s="19">
        <v>75</v>
      </c>
      <c r="O14" s="19">
        <v>0</v>
      </c>
      <c r="P14" s="20">
        <v>75</v>
      </c>
      <c r="Q14" s="19">
        <v>0</v>
      </c>
      <c r="R14" s="19">
        <v>0</v>
      </c>
      <c r="S14" s="19">
        <v>0</v>
      </c>
      <c r="T14" s="19">
        <v>0</v>
      </c>
      <c r="U14" s="18" t="s">
        <v>842</v>
      </c>
      <c r="V14" s="21" t="s">
        <v>839</v>
      </c>
    </row>
    <row r="15" spans="1:22" ht="18.75">
      <c r="A15" s="17" t="s">
        <v>177</v>
      </c>
      <c r="B15" s="18" t="s">
        <v>178</v>
      </c>
      <c r="C15" s="18" t="s">
        <v>70</v>
      </c>
      <c r="D15" s="18" t="s">
        <v>71</v>
      </c>
      <c r="E15" s="18"/>
      <c r="F15" s="18"/>
      <c r="G15" s="18" t="s">
        <v>834</v>
      </c>
      <c r="H15" s="18" t="s">
        <v>835</v>
      </c>
      <c r="I15" s="18" t="s">
        <v>836</v>
      </c>
      <c r="J15" s="18" t="s">
        <v>790</v>
      </c>
      <c r="K15" s="18" t="s">
        <v>843</v>
      </c>
      <c r="L15" s="18" t="s">
        <v>844</v>
      </c>
      <c r="M15" s="19">
        <v>0</v>
      </c>
      <c r="N15" s="19">
        <v>240</v>
      </c>
      <c r="O15" s="19">
        <v>130</v>
      </c>
      <c r="P15" s="20">
        <v>110</v>
      </c>
      <c r="Q15" s="19">
        <v>0</v>
      </c>
      <c r="R15" s="19">
        <v>0</v>
      </c>
      <c r="S15" s="19">
        <v>0</v>
      </c>
      <c r="T15" s="19">
        <v>0</v>
      </c>
      <c r="U15" s="18" t="s">
        <v>47</v>
      </c>
      <c r="V15" s="21" t="s">
        <v>839</v>
      </c>
    </row>
    <row r="16" spans="1:22" ht="18.75">
      <c r="A16" s="17" t="s">
        <v>177</v>
      </c>
      <c r="B16" s="18" t="s">
        <v>178</v>
      </c>
      <c r="C16" s="18" t="s">
        <v>70</v>
      </c>
      <c r="D16" s="18" t="s">
        <v>71</v>
      </c>
      <c r="E16" s="18"/>
      <c r="F16" s="18"/>
      <c r="G16" s="18" t="s">
        <v>845</v>
      </c>
      <c r="H16" s="18" t="s">
        <v>846</v>
      </c>
      <c r="I16" s="18" t="s">
        <v>847</v>
      </c>
      <c r="J16" s="18" t="s">
        <v>790</v>
      </c>
      <c r="K16" s="18" t="s">
        <v>840</v>
      </c>
      <c r="L16" s="18" t="s">
        <v>841</v>
      </c>
      <c r="M16" s="19">
        <v>0</v>
      </c>
      <c r="N16" s="19">
        <v>5</v>
      </c>
      <c r="O16" s="19">
        <v>0</v>
      </c>
      <c r="P16" s="20">
        <v>5</v>
      </c>
      <c r="Q16" s="19">
        <v>0</v>
      </c>
      <c r="R16" s="19">
        <v>0</v>
      </c>
      <c r="S16" s="19">
        <v>0</v>
      </c>
      <c r="T16" s="19">
        <v>0</v>
      </c>
      <c r="U16" s="18" t="s">
        <v>842</v>
      </c>
      <c r="V16" s="21" t="s">
        <v>839</v>
      </c>
    </row>
    <row r="17" spans="1:22" ht="18.75">
      <c r="A17" s="17" t="s">
        <v>177</v>
      </c>
      <c r="B17" s="18" t="s">
        <v>178</v>
      </c>
      <c r="C17" s="18" t="s">
        <v>70</v>
      </c>
      <c r="D17" s="18" t="s">
        <v>71</v>
      </c>
      <c r="E17" s="18"/>
      <c r="F17" s="18"/>
      <c r="G17" s="18" t="s">
        <v>848</v>
      </c>
      <c r="H17" s="18" t="s">
        <v>849</v>
      </c>
      <c r="I17" s="18" t="s">
        <v>850</v>
      </c>
      <c r="J17" s="18" t="s">
        <v>790</v>
      </c>
      <c r="K17" s="18" t="s">
        <v>843</v>
      </c>
      <c r="L17" s="18" t="s">
        <v>844</v>
      </c>
      <c r="M17" s="19">
        <v>0</v>
      </c>
      <c r="N17" s="19">
        <v>821</v>
      </c>
      <c r="O17" s="19">
        <v>803</v>
      </c>
      <c r="P17" s="20">
        <v>18</v>
      </c>
      <c r="Q17" s="19">
        <v>0</v>
      </c>
      <c r="R17" s="19">
        <v>0</v>
      </c>
      <c r="S17" s="19">
        <v>0</v>
      </c>
      <c r="T17" s="19">
        <v>0</v>
      </c>
      <c r="U17" s="18" t="s">
        <v>47</v>
      </c>
      <c r="V17" s="21" t="s">
        <v>851</v>
      </c>
    </row>
    <row r="18" spans="1:22" ht="18.75">
      <c r="A18" s="17" t="s">
        <v>177</v>
      </c>
      <c r="B18" s="18" t="s">
        <v>178</v>
      </c>
      <c r="C18" s="18" t="s">
        <v>70</v>
      </c>
      <c r="D18" s="18" t="s">
        <v>71</v>
      </c>
      <c r="E18" s="18"/>
      <c r="F18" s="18"/>
      <c r="G18" s="18" t="s">
        <v>852</v>
      </c>
      <c r="H18" s="18" t="s">
        <v>853</v>
      </c>
      <c r="I18" s="18" t="s">
        <v>854</v>
      </c>
      <c r="J18" s="18" t="s">
        <v>790</v>
      </c>
      <c r="K18" s="18" t="s">
        <v>837</v>
      </c>
      <c r="L18" s="18" t="s">
        <v>838</v>
      </c>
      <c r="M18" s="19">
        <v>0</v>
      </c>
      <c r="N18" s="19">
        <v>200</v>
      </c>
      <c r="O18" s="19">
        <v>0</v>
      </c>
      <c r="P18" s="20">
        <v>200</v>
      </c>
      <c r="Q18" s="19">
        <v>0</v>
      </c>
      <c r="R18" s="19">
        <v>0</v>
      </c>
      <c r="S18" s="19">
        <v>0</v>
      </c>
      <c r="T18" s="19">
        <v>0</v>
      </c>
      <c r="U18" s="18" t="s">
        <v>47</v>
      </c>
      <c r="V18" s="21" t="s">
        <v>855</v>
      </c>
    </row>
    <row r="19" spans="1:22" ht="18.75">
      <c r="A19" s="17" t="s">
        <v>177</v>
      </c>
      <c r="B19" s="18" t="s">
        <v>178</v>
      </c>
      <c r="C19" s="18" t="s">
        <v>70</v>
      </c>
      <c r="D19" s="18" t="s">
        <v>71</v>
      </c>
      <c r="E19" s="18"/>
      <c r="F19" s="18"/>
      <c r="G19" s="18" t="s">
        <v>852</v>
      </c>
      <c r="H19" s="18" t="s">
        <v>853</v>
      </c>
      <c r="I19" s="18" t="s">
        <v>854</v>
      </c>
      <c r="J19" s="18" t="s">
        <v>790</v>
      </c>
      <c r="K19" s="18" t="s">
        <v>840</v>
      </c>
      <c r="L19" s="18" t="s">
        <v>841</v>
      </c>
      <c r="M19" s="19">
        <v>0</v>
      </c>
      <c r="N19" s="19">
        <v>40</v>
      </c>
      <c r="O19" s="19">
        <v>0</v>
      </c>
      <c r="P19" s="20">
        <v>40</v>
      </c>
      <c r="Q19" s="19">
        <v>0</v>
      </c>
      <c r="R19" s="19">
        <v>0</v>
      </c>
      <c r="S19" s="19">
        <v>0</v>
      </c>
      <c r="T19" s="19">
        <v>0</v>
      </c>
      <c r="U19" s="18" t="s">
        <v>842</v>
      </c>
      <c r="V19" s="21" t="s">
        <v>855</v>
      </c>
    </row>
    <row r="20" spans="1:22" ht="18.75">
      <c r="A20" s="17" t="s">
        <v>177</v>
      </c>
      <c r="B20" s="18" t="s">
        <v>178</v>
      </c>
      <c r="C20" s="18" t="s">
        <v>70</v>
      </c>
      <c r="D20" s="18" t="s">
        <v>71</v>
      </c>
      <c r="E20" s="18"/>
      <c r="F20" s="18"/>
      <c r="G20" s="18" t="s">
        <v>852</v>
      </c>
      <c r="H20" s="18" t="s">
        <v>853</v>
      </c>
      <c r="I20" s="18" t="s">
        <v>854</v>
      </c>
      <c r="J20" s="18" t="s">
        <v>790</v>
      </c>
      <c r="K20" s="18" t="s">
        <v>856</v>
      </c>
      <c r="L20" s="18" t="s">
        <v>857</v>
      </c>
      <c r="M20" s="19">
        <v>0</v>
      </c>
      <c r="N20" s="19">
        <v>400</v>
      </c>
      <c r="O20" s="19">
        <v>240</v>
      </c>
      <c r="P20" s="20">
        <v>160</v>
      </c>
      <c r="Q20" s="19">
        <v>0</v>
      </c>
      <c r="R20" s="19">
        <v>0</v>
      </c>
      <c r="S20" s="19">
        <v>0</v>
      </c>
      <c r="T20" s="19">
        <v>0</v>
      </c>
      <c r="U20" s="18" t="s">
        <v>30</v>
      </c>
      <c r="V20" s="21" t="s">
        <v>855</v>
      </c>
    </row>
    <row r="21" spans="1:22" ht="18.75">
      <c r="A21" s="17" t="s">
        <v>177</v>
      </c>
      <c r="B21" s="18" t="s">
        <v>178</v>
      </c>
      <c r="C21" s="18" t="s">
        <v>70</v>
      </c>
      <c r="D21" s="18" t="s">
        <v>71</v>
      </c>
      <c r="E21" s="18"/>
      <c r="F21" s="18"/>
      <c r="G21" s="18" t="s">
        <v>858</v>
      </c>
      <c r="H21" s="18" t="s">
        <v>859</v>
      </c>
      <c r="I21" s="18" t="s">
        <v>860</v>
      </c>
      <c r="J21" s="18" t="s">
        <v>790</v>
      </c>
      <c r="K21" s="18" t="s">
        <v>856</v>
      </c>
      <c r="L21" s="18" t="s">
        <v>857</v>
      </c>
      <c r="M21" s="19">
        <v>0</v>
      </c>
      <c r="N21" s="19">
        <v>800</v>
      </c>
      <c r="O21" s="19">
        <v>0</v>
      </c>
      <c r="P21" s="20">
        <v>800</v>
      </c>
      <c r="Q21" s="19">
        <v>0</v>
      </c>
      <c r="R21" s="19">
        <v>0</v>
      </c>
      <c r="S21" s="19">
        <v>0</v>
      </c>
      <c r="T21" s="19">
        <v>0</v>
      </c>
      <c r="U21" s="18" t="s">
        <v>30</v>
      </c>
      <c r="V21" s="21" t="s">
        <v>855</v>
      </c>
    </row>
    <row r="22" spans="1:22" ht="18.75">
      <c r="A22" s="17" t="s">
        <v>177</v>
      </c>
      <c r="B22" s="18" t="s">
        <v>178</v>
      </c>
      <c r="C22" s="18" t="s">
        <v>70</v>
      </c>
      <c r="D22" s="18" t="s">
        <v>71</v>
      </c>
      <c r="E22" s="18"/>
      <c r="F22" s="18"/>
      <c r="G22" s="18" t="s">
        <v>861</v>
      </c>
      <c r="H22" s="18" t="s">
        <v>862</v>
      </c>
      <c r="I22" s="18" t="s">
        <v>863</v>
      </c>
      <c r="J22" s="18" t="s">
        <v>790</v>
      </c>
      <c r="K22" s="18" t="s">
        <v>856</v>
      </c>
      <c r="L22" s="18" t="s">
        <v>857</v>
      </c>
      <c r="M22" s="19">
        <v>0</v>
      </c>
      <c r="N22" s="19">
        <v>1220</v>
      </c>
      <c r="O22" s="19">
        <v>0</v>
      </c>
      <c r="P22" s="20">
        <v>1220</v>
      </c>
      <c r="Q22" s="19">
        <v>0</v>
      </c>
      <c r="R22" s="19">
        <v>0</v>
      </c>
      <c r="S22" s="19">
        <v>0</v>
      </c>
      <c r="T22" s="19">
        <v>0</v>
      </c>
      <c r="U22" s="18" t="s">
        <v>30</v>
      </c>
      <c r="V22" s="21" t="s">
        <v>864</v>
      </c>
    </row>
    <row r="23" spans="1:22" ht="18.75">
      <c r="A23" s="17" t="s">
        <v>177</v>
      </c>
      <c r="B23" s="18" t="s">
        <v>178</v>
      </c>
      <c r="C23" s="18" t="s">
        <v>70</v>
      </c>
      <c r="D23" s="18" t="s">
        <v>71</v>
      </c>
      <c r="E23" s="18"/>
      <c r="F23" s="18"/>
      <c r="G23" s="18" t="s">
        <v>865</v>
      </c>
      <c r="H23" s="18" t="s">
        <v>866</v>
      </c>
      <c r="I23" s="18" t="s">
        <v>867</v>
      </c>
      <c r="J23" s="18" t="s">
        <v>790</v>
      </c>
      <c r="K23" s="18" t="s">
        <v>843</v>
      </c>
      <c r="L23" s="18" t="s">
        <v>844</v>
      </c>
      <c r="M23" s="19">
        <v>0</v>
      </c>
      <c r="N23" s="19">
        <v>329</v>
      </c>
      <c r="O23" s="19">
        <v>0</v>
      </c>
      <c r="P23" s="20">
        <v>329</v>
      </c>
      <c r="Q23" s="19">
        <v>0</v>
      </c>
      <c r="R23" s="19">
        <v>0</v>
      </c>
      <c r="S23" s="19">
        <v>0</v>
      </c>
      <c r="T23" s="19">
        <v>0</v>
      </c>
      <c r="U23" s="18" t="s">
        <v>47</v>
      </c>
      <c r="V23" s="21" t="s">
        <v>789</v>
      </c>
    </row>
    <row r="24" spans="1:22" ht="18.75">
      <c r="A24" s="17" t="s">
        <v>177</v>
      </c>
      <c r="B24" s="18" t="s">
        <v>178</v>
      </c>
      <c r="C24" s="18" t="s">
        <v>70</v>
      </c>
      <c r="D24" s="18" t="s">
        <v>71</v>
      </c>
      <c r="E24" s="18"/>
      <c r="F24" s="18"/>
      <c r="G24" s="18" t="s">
        <v>868</v>
      </c>
      <c r="H24" s="18" t="s">
        <v>869</v>
      </c>
      <c r="I24" s="18" t="s">
        <v>870</v>
      </c>
      <c r="J24" s="18" t="s">
        <v>790</v>
      </c>
      <c r="K24" s="18" t="s">
        <v>824</v>
      </c>
      <c r="L24" s="18" t="s">
        <v>825</v>
      </c>
      <c r="M24" s="19">
        <v>0</v>
      </c>
      <c r="N24" s="19">
        <v>400</v>
      </c>
      <c r="O24" s="19">
        <v>0</v>
      </c>
      <c r="P24" s="20">
        <v>400</v>
      </c>
      <c r="Q24" s="19">
        <v>0</v>
      </c>
      <c r="R24" s="19">
        <v>0</v>
      </c>
      <c r="S24" s="19">
        <v>0</v>
      </c>
      <c r="T24" s="19">
        <v>0</v>
      </c>
      <c r="U24" s="18" t="s">
        <v>826</v>
      </c>
      <c r="V24" s="21" t="s">
        <v>871</v>
      </c>
    </row>
    <row r="25" spans="1:22" ht="18.75">
      <c r="A25" s="17" t="s">
        <v>177</v>
      </c>
      <c r="B25" s="18" t="s">
        <v>178</v>
      </c>
      <c r="C25" s="18" t="s">
        <v>70</v>
      </c>
      <c r="D25" s="18" t="s">
        <v>71</v>
      </c>
      <c r="E25" s="18"/>
      <c r="F25" s="18"/>
      <c r="G25" s="18" t="s">
        <v>868</v>
      </c>
      <c r="H25" s="18" t="s">
        <v>869</v>
      </c>
      <c r="I25" s="18" t="s">
        <v>870</v>
      </c>
      <c r="J25" s="18" t="s">
        <v>790</v>
      </c>
      <c r="K25" s="18" t="s">
        <v>856</v>
      </c>
      <c r="L25" s="18" t="s">
        <v>857</v>
      </c>
      <c r="M25" s="19">
        <v>0</v>
      </c>
      <c r="N25" s="19">
        <v>400</v>
      </c>
      <c r="O25" s="19">
        <v>0</v>
      </c>
      <c r="P25" s="20">
        <v>400</v>
      </c>
      <c r="Q25" s="19">
        <v>0</v>
      </c>
      <c r="R25" s="19">
        <v>0</v>
      </c>
      <c r="S25" s="19">
        <v>0</v>
      </c>
      <c r="T25" s="19">
        <v>0</v>
      </c>
      <c r="U25" s="18" t="s">
        <v>30</v>
      </c>
      <c r="V25" s="21" t="s">
        <v>871</v>
      </c>
    </row>
    <row r="26" spans="1:22" ht="18.75">
      <c r="A26" s="17" t="s">
        <v>180</v>
      </c>
      <c r="B26" s="18" t="s">
        <v>181</v>
      </c>
      <c r="C26" s="18" t="s">
        <v>872</v>
      </c>
      <c r="D26" s="18" t="s">
        <v>63</v>
      </c>
      <c r="E26" s="18"/>
      <c r="F26" s="18"/>
      <c r="G26" s="18" t="s">
        <v>807</v>
      </c>
      <c r="H26" s="18" t="s">
        <v>808</v>
      </c>
      <c r="I26" s="18" t="s">
        <v>873</v>
      </c>
      <c r="J26" s="18" t="s">
        <v>790</v>
      </c>
      <c r="K26" s="18" t="s">
        <v>843</v>
      </c>
      <c r="L26" s="18" t="s">
        <v>844</v>
      </c>
      <c r="M26" s="19">
        <v>0</v>
      </c>
      <c r="N26" s="19">
        <v>23</v>
      </c>
      <c r="O26" s="19">
        <v>5</v>
      </c>
      <c r="P26" s="20">
        <v>18</v>
      </c>
      <c r="Q26" s="19">
        <v>0</v>
      </c>
      <c r="R26" s="19">
        <v>0</v>
      </c>
      <c r="S26" s="19">
        <v>0</v>
      </c>
      <c r="T26" s="19">
        <v>0</v>
      </c>
      <c r="U26" s="18" t="s">
        <v>874</v>
      </c>
      <c r="V26" s="21" t="s">
        <v>875</v>
      </c>
    </row>
    <row r="27" spans="1:22" ht="18.75">
      <c r="A27" s="17" t="s">
        <v>180</v>
      </c>
      <c r="B27" s="18" t="s">
        <v>181</v>
      </c>
      <c r="C27" s="18" t="s">
        <v>872</v>
      </c>
      <c r="D27" s="18" t="s">
        <v>63</v>
      </c>
      <c r="E27" s="18"/>
      <c r="F27" s="18"/>
      <c r="G27" s="18" t="s">
        <v>848</v>
      </c>
      <c r="H27" s="18" t="s">
        <v>849</v>
      </c>
      <c r="I27" s="18" t="s">
        <v>876</v>
      </c>
      <c r="J27" s="18" t="s">
        <v>790</v>
      </c>
      <c r="K27" s="18" t="s">
        <v>843</v>
      </c>
      <c r="L27" s="18" t="s">
        <v>844</v>
      </c>
      <c r="M27" s="19">
        <v>0</v>
      </c>
      <c r="N27" s="19">
        <v>49</v>
      </c>
      <c r="O27" s="19">
        <v>0</v>
      </c>
      <c r="P27" s="20">
        <v>49</v>
      </c>
      <c r="Q27" s="19">
        <v>0</v>
      </c>
      <c r="R27" s="19">
        <v>0</v>
      </c>
      <c r="S27" s="19">
        <v>0</v>
      </c>
      <c r="T27" s="19">
        <v>0</v>
      </c>
      <c r="U27" s="18" t="s">
        <v>874</v>
      </c>
      <c r="V27" s="21" t="s">
        <v>874</v>
      </c>
    </row>
    <row r="28" spans="1:22" ht="18.75">
      <c r="A28" s="17" t="s">
        <v>182</v>
      </c>
      <c r="B28" s="18" t="s">
        <v>183</v>
      </c>
      <c r="C28" s="18" t="s">
        <v>70</v>
      </c>
      <c r="D28" s="18" t="s">
        <v>71</v>
      </c>
      <c r="E28" s="18"/>
      <c r="F28" s="18"/>
      <c r="G28" s="18" t="s">
        <v>877</v>
      </c>
      <c r="H28" s="18" t="s">
        <v>878</v>
      </c>
      <c r="I28" s="18"/>
      <c r="J28" s="18" t="s">
        <v>790</v>
      </c>
      <c r="K28" s="18" t="s">
        <v>800</v>
      </c>
      <c r="L28" s="18" t="s">
        <v>801</v>
      </c>
      <c r="M28" s="19">
        <v>0</v>
      </c>
      <c r="N28" s="19">
        <v>8</v>
      </c>
      <c r="O28" s="19">
        <v>0</v>
      </c>
      <c r="P28" s="20">
        <v>8</v>
      </c>
      <c r="Q28" s="19">
        <v>0</v>
      </c>
      <c r="R28" s="19">
        <v>0</v>
      </c>
      <c r="S28" s="19">
        <v>0</v>
      </c>
      <c r="T28" s="19">
        <v>0</v>
      </c>
      <c r="U28" s="18" t="s">
        <v>879</v>
      </c>
      <c r="V28" s="21" t="s">
        <v>880</v>
      </c>
    </row>
    <row r="29" spans="1:22" ht="18.75">
      <c r="A29" s="17" t="s">
        <v>182</v>
      </c>
      <c r="B29" s="18" t="s">
        <v>183</v>
      </c>
      <c r="C29" s="18" t="s">
        <v>70</v>
      </c>
      <c r="D29" s="18" t="s">
        <v>71</v>
      </c>
      <c r="E29" s="18"/>
      <c r="F29" s="18"/>
      <c r="G29" s="18" t="s">
        <v>881</v>
      </c>
      <c r="H29" s="18" t="s">
        <v>882</v>
      </c>
      <c r="I29" s="18" t="s">
        <v>883</v>
      </c>
      <c r="J29" s="18" t="s">
        <v>790</v>
      </c>
      <c r="K29" s="18" t="s">
        <v>800</v>
      </c>
      <c r="L29" s="18" t="s">
        <v>801</v>
      </c>
      <c r="M29" s="19">
        <v>0</v>
      </c>
      <c r="N29" s="19">
        <v>5</v>
      </c>
      <c r="O29" s="19">
        <v>0</v>
      </c>
      <c r="P29" s="20">
        <v>5</v>
      </c>
      <c r="Q29" s="19">
        <v>0</v>
      </c>
      <c r="R29" s="19">
        <v>0</v>
      </c>
      <c r="S29" s="19">
        <v>0</v>
      </c>
      <c r="T29" s="19">
        <v>0</v>
      </c>
      <c r="U29" s="18" t="s">
        <v>879</v>
      </c>
      <c r="V29" s="21" t="s">
        <v>884</v>
      </c>
    </row>
    <row r="30" spans="1:22" ht="18.75">
      <c r="A30" s="17" t="s">
        <v>182</v>
      </c>
      <c r="B30" s="18" t="s">
        <v>183</v>
      </c>
      <c r="C30" s="18" t="s">
        <v>70</v>
      </c>
      <c r="D30" s="18" t="s">
        <v>71</v>
      </c>
      <c r="E30" s="18"/>
      <c r="F30" s="18"/>
      <c r="G30" s="18" t="s">
        <v>885</v>
      </c>
      <c r="H30" s="18" t="s">
        <v>886</v>
      </c>
      <c r="I30" s="18" t="s">
        <v>887</v>
      </c>
      <c r="J30" s="18" t="s">
        <v>790</v>
      </c>
      <c r="K30" s="18" t="s">
        <v>800</v>
      </c>
      <c r="L30" s="18" t="s">
        <v>801</v>
      </c>
      <c r="M30" s="19">
        <v>0</v>
      </c>
      <c r="N30" s="19">
        <v>1</v>
      </c>
      <c r="O30" s="19">
        <v>0</v>
      </c>
      <c r="P30" s="20">
        <v>1</v>
      </c>
      <c r="Q30" s="19">
        <v>0</v>
      </c>
      <c r="R30" s="19">
        <v>0</v>
      </c>
      <c r="S30" s="19">
        <v>0</v>
      </c>
      <c r="T30" s="19">
        <v>0</v>
      </c>
      <c r="U30" s="18" t="s">
        <v>879</v>
      </c>
      <c r="V30" s="21" t="s">
        <v>888</v>
      </c>
    </row>
    <row r="31" spans="1:22" ht="18.75">
      <c r="A31" s="17" t="s">
        <v>182</v>
      </c>
      <c r="B31" s="18" t="s">
        <v>183</v>
      </c>
      <c r="C31" s="18" t="s">
        <v>70</v>
      </c>
      <c r="D31" s="18" t="s">
        <v>71</v>
      </c>
      <c r="E31" s="18"/>
      <c r="F31" s="18"/>
      <c r="G31" s="18" t="s">
        <v>885</v>
      </c>
      <c r="H31" s="18" t="s">
        <v>886</v>
      </c>
      <c r="I31" s="18" t="s">
        <v>887</v>
      </c>
      <c r="J31" s="18" t="s">
        <v>790</v>
      </c>
      <c r="K31" s="18" t="s">
        <v>889</v>
      </c>
      <c r="L31" s="18" t="s">
        <v>890</v>
      </c>
      <c r="M31" s="19">
        <v>0</v>
      </c>
      <c r="N31" s="19">
        <v>1</v>
      </c>
      <c r="O31" s="19">
        <v>0</v>
      </c>
      <c r="P31" s="20">
        <v>1</v>
      </c>
      <c r="Q31" s="19">
        <v>0</v>
      </c>
      <c r="R31" s="19">
        <v>0</v>
      </c>
      <c r="S31" s="19">
        <v>0</v>
      </c>
      <c r="T31" s="19">
        <v>0</v>
      </c>
      <c r="U31" s="18" t="s">
        <v>879</v>
      </c>
      <c r="V31" s="21" t="s">
        <v>888</v>
      </c>
    </row>
    <row r="32" spans="1:22" ht="18.75">
      <c r="A32" s="17" t="s">
        <v>182</v>
      </c>
      <c r="B32" s="18" t="s">
        <v>183</v>
      </c>
      <c r="C32" s="18" t="s">
        <v>70</v>
      </c>
      <c r="D32" s="18" t="s">
        <v>71</v>
      </c>
      <c r="E32" s="18"/>
      <c r="F32" s="18"/>
      <c r="G32" s="18" t="s">
        <v>891</v>
      </c>
      <c r="H32" s="18" t="s">
        <v>892</v>
      </c>
      <c r="I32" s="18" t="s">
        <v>893</v>
      </c>
      <c r="J32" s="18" t="s">
        <v>790</v>
      </c>
      <c r="K32" s="18" t="s">
        <v>810</v>
      </c>
      <c r="L32" s="18" t="s">
        <v>811</v>
      </c>
      <c r="M32" s="19">
        <v>0</v>
      </c>
      <c r="N32" s="19">
        <v>1</v>
      </c>
      <c r="O32" s="19">
        <v>0</v>
      </c>
      <c r="P32" s="20">
        <v>1</v>
      </c>
      <c r="Q32" s="19">
        <v>0</v>
      </c>
      <c r="R32" s="19">
        <v>0</v>
      </c>
      <c r="S32" s="19">
        <v>0</v>
      </c>
      <c r="T32" s="19">
        <v>0</v>
      </c>
      <c r="U32" s="18" t="s">
        <v>826</v>
      </c>
      <c r="V32" s="21" t="s">
        <v>888</v>
      </c>
    </row>
    <row r="33" spans="1:22" ht="18.75">
      <c r="A33" s="17" t="s">
        <v>182</v>
      </c>
      <c r="B33" s="18" t="s">
        <v>183</v>
      </c>
      <c r="C33" s="18" t="s">
        <v>70</v>
      </c>
      <c r="D33" s="18" t="s">
        <v>71</v>
      </c>
      <c r="E33" s="18"/>
      <c r="F33" s="18"/>
      <c r="G33" s="18" t="s">
        <v>894</v>
      </c>
      <c r="H33" s="18" t="s">
        <v>895</v>
      </c>
      <c r="I33" s="18" t="s">
        <v>896</v>
      </c>
      <c r="J33" s="18" t="s">
        <v>790</v>
      </c>
      <c r="K33" s="18" t="s">
        <v>824</v>
      </c>
      <c r="L33" s="18" t="s">
        <v>825</v>
      </c>
      <c r="M33" s="19">
        <v>0</v>
      </c>
      <c r="N33" s="19">
        <v>303</v>
      </c>
      <c r="O33" s="19">
        <v>230</v>
      </c>
      <c r="P33" s="20">
        <v>73</v>
      </c>
      <c r="Q33" s="19">
        <v>0</v>
      </c>
      <c r="R33" s="19">
        <v>0</v>
      </c>
      <c r="S33" s="19">
        <v>0</v>
      </c>
      <c r="T33" s="19">
        <v>0</v>
      </c>
      <c r="U33" s="18" t="s">
        <v>826</v>
      </c>
      <c r="V33" s="21" t="s">
        <v>827</v>
      </c>
    </row>
    <row r="34" spans="1:22" ht="18.75">
      <c r="A34" s="17" t="s">
        <v>182</v>
      </c>
      <c r="B34" s="18" t="s">
        <v>183</v>
      </c>
      <c r="C34" s="18" t="s">
        <v>70</v>
      </c>
      <c r="D34" s="18" t="s">
        <v>71</v>
      </c>
      <c r="E34" s="18"/>
      <c r="F34" s="18"/>
      <c r="G34" s="18" t="s">
        <v>894</v>
      </c>
      <c r="H34" s="18" t="s">
        <v>895</v>
      </c>
      <c r="I34" s="18" t="s">
        <v>896</v>
      </c>
      <c r="J34" s="18" t="s">
        <v>790</v>
      </c>
      <c r="K34" s="18" t="s">
        <v>828</v>
      </c>
      <c r="L34" s="18" t="s">
        <v>829</v>
      </c>
      <c r="M34" s="19">
        <v>0</v>
      </c>
      <c r="N34" s="19">
        <v>318</v>
      </c>
      <c r="O34" s="19">
        <v>306</v>
      </c>
      <c r="P34" s="20">
        <v>12</v>
      </c>
      <c r="Q34" s="19">
        <v>0</v>
      </c>
      <c r="R34" s="19">
        <v>0</v>
      </c>
      <c r="S34" s="19">
        <v>0</v>
      </c>
      <c r="T34" s="19">
        <v>0</v>
      </c>
      <c r="U34" s="18" t="s">
        <v>47</v>
      </c>
      <c r="V34" s="21" t="s">
        <v>827</v>
      </c>
    </row>
    <row r="35" spans="1:22" ht="18.75">
      <c r="A35" s="17" t="s">
        <v>182</v>
      </c>
      <c r="B35" s="18" t="s">
        <v>183</v>
      </c>
      <c r="C35" s="18" t="s">
        <v>70</v>
      </c>
      <c r="D35" s="18" t="s">
        <v>71</v>
      </c>
      <c r="E35" s="18"/>
      <c r="F35" s="18"/>
      <c r="G35" s="18" t="s">
        <v>894</v>
      </c>
      <c r="H35" s="18" t="s">
        <v>895</v>
      </c>
      <c r="I35" s="18" t="s">
        <v>896</v>
      </c>
      <c r="J35" s="18" t="s">
        <v>790</v>
      </c>
      <c r="K35" s="18" t="s">
        <v>897</v>
      </c>
      <c r="L35" s="18" t="s">
        <v>898</v>
      </c>
      <c r="M35" s="19">
        <v>0</v>
      </c>
      <c r="N35" s="19">
        <v>160</v>
      </c>
      <c r="O35" s="19">
        <v>125</v>
      </c>
      <c r="P35" s="20">
        <v>35</v>
      </c>
      <c r="Q35" s="19">
        <v>0</v>
      </c>
      <c r="R35" s="19">
        <v>0</v>
      </c>
      <c r="S35" s="19">
        <v>0</v>
      </c>
      <c r="T35" s="19">
        <v>0</v>
      </c>
      <c r="U35" s="18" t="s">
        <v>871</v>
      </c>
      <c r="V35" s="21" t="s">
        <v>827</v>
      </c>
    </row>
    <row r="36" spans="1:22" ht="18.75">
      <c r="A36" s="17" t="s">
        <v>182</v>
      </c>
      <c r="B36" s="18" t="s">
        <v>183</v>
      </c>
      <c r="C36" s="18" t="s">
        <v>70</v>
      </c>
      <c r="D36" s="18" t="s">
        <v>71</v>
      </c>
      <c r="E36" s="18"/>
      <c r="F36" s="18"/>
      <c r="G36" s="18" t="s">
        <v>894</v>
      </c>
      <c r="H36" s="18" t="s">
        <v>895</v>
      </c>
      <c r="I36" s="18" t="s">
        <v>896</v>
      </c>
      <c r="J36" s="18" t="s">
        <v>790</v>
      </c>
      <c r="K36" s="18" t="s">
        <v>810</v>
      </c>
      <c r="L36" s="18" t="s">
        <v>811</v>
      </c>
      <c r="M36" s="19">
        <v>0</v>
      </c>
      <c r="N36" s="19">
        <v>3</v>
      </c>
      <c r="O36" s="19">
        <v>0</v>
      </c>
      <c r="P36" s="20">
        <v>3</v>
      </c>
      <c r="Q36" s="19">
        <v>0</v>
      </c>
      <c r="R36" s="19">
        <v>0</v>
      </c>
      <c r="S36" s="19">
        <v>0</v>
      </c>
      <c r="T36" s="19">
        <v>0</v>
      </c>
      <c r="U36" s="18" t="s">
        <v>826</v>
      </c>
      <c r="V36" s="21" t="s">
        <v>827</v>
      </c>
    </row>
    <row r="37" spans="1:22" ht="18.75">
      <c r="A37" s="17" t="s">
        <v>182</v>
      </c>
      <c r="B37" s="18" t="s">
        <v>183</v>
      </c>
      <c r="C37" s="18" t="s">
        <v>70</v>
      </c>
      <c r="D37" s="18" t="s">
        <v>71</v>
      </c>
      <c r="E37" s="18"/>
      <c r="F37" s="18"/>
      <c r="G37" s="18" t="s">
        <v>821</v>
      </c>
      <c r="H37" s="18" t="s">
        <v>822</v>
      </c>
      <c r="I37" s="18" t="s">
        <v>823</v>
      </c>
      <c r="J37" s="18" t="s">
        <v>790</v>
      </c>
      <c r="K37" s="18" t="s">
        <v>824</v>
      </c>
      <c r="L37" s="18" t="s">
        <v>825</v>
      </c>
      <c r="M37" s="19">
        <v>0</v>
      </c>
      <c r="N37" s="19">
        <v>97</v>
      </c>
      <c r="O37" s="19">
        <v>0</v>
      </c>
      <c r="P37" s="20">
        <v>97</v>
      </c>
      <c r="Q37" s="19">
        <v>0</v>
      </c>
      <c r="R37" s="19">
        <v>0</v>
      </c>
      <c r="S37" s="19">
        <v>0</v>
      </c>
      <c r="T37" s="19">
        <v>0</v>
      </c>
      <c r="U37" s="18" t="s">
        <v>826</v>
      </c>
      <c r="V37" s="21" t="s">
        <v>833</v>
      </c>
    </row>
    <row r="38" spans="1:22" ht="18.75">
      <c r="A38" s="17" t="s">
        <v>182</v>
      </c>
      <c r="B38" s="18" t="s">
        <v>183</v>
      </c>
      <c r="C38" s="18" t="s">
        <v>70</v>
      </c>
      <c r="D38" s="18" t="s">
        <v>71</v>
      </c>
      <c r="E38" s="18"/>
      <c r="F38" s="18"/>
      <c r="G38" s="18" t="s">
        <v>899</v>
      </c>
      <c r="H38" s="18" t="s">
        <v>900</v>
      </c>
      <c r="I38" s="18" t="s">
        <v>901</v>
      </c>
      <c r="J38" s="18" t="s">
        <v>790</v>
      </c>
      <c r="K38" s="18" t="s">
        <v>828</v>
      </c>
      <c r="L38" s="18" t="s">
        <v>829</v>
      </c>
      <c r="M38" s="19">
        <v>0</v>
      </c>
      <c r="N38" s="19">
        <v>19</v>
      </c>
      <c r="O38" s="19">
        <v>0</v>
      </c>
      <c r="P38" s="20">
        <v>19</v>
      </c>
      <c r="Q38" s="19">
        <v>0</v>
      </c>
      <c r="R38" s="19">
        <v>0</v>
      </c>
      <c r="S38" s="19">
        <v>0</v>
      </c>
      <c r="T38" s="19">
        <v>0</v>
      </c>
      <c r="U38" s="18" t="s">
        <v>47</v>
      </c>
      <c r="V38" s="21" t="s">
        <v>902</v>
      </c>
    </row>
    <row r="39" spans="1:22" ht="18.75">
      <c r="A39" s="17" t="s">
        <v>182</v>
      </c>
      <c r="B39" s="18" t="s">
        <v>183</v>
      </c>
      <c r="C39" s="18" t="s">
        <v>70</v>
      </c>
      <c r="D39" s="18" t="s">
        <v>71</v>
      </c>
      <c r="E39" s="18"/>
      <c r="F39" s="18"/>
      <c r="G39" s="18" t="s">
        <v>903</v>
      </c>
      <c r="H39" s="18" t="s">
        <v>904</v>
      </c>
      <c r="I39" s="18" t="s">
        <v>905</v>
      </c>
      <c r="J39" s="18" t="s">
        <v>790</v>
      </c>
      <c r="K39" s="18" t="s">
        <v>837</v>
      </c>
      <c r="L39" s="18" t="s">
        <v>838</v>
      </c>
      <c r="M39" s="19">
        <v>0</v>
      </c>
      <c r="N39" s="19">
        <v>200</v>
      </c>
      <c r="O39" s="19">
        <v>0</v>
      </c>
      <c r="P39" s="20">
        <v>200</v>
      </c>
      <c r="Q39" s="19">
        <v>0</v>
      </c>
      <c r="R39" s="19">
        <v>0</v>
      </c>
      <c r="S39" s="19">
        <v>0</v>
      </c>
      <c r="T39" s="19">
        <v>0</v>
      </c>
      <c r="U39" s="18" t="s">
        <v>47</v>
      </c>
      <c r="V39" s="21" t="s">
        <v>839</v>
      </c>
    </row>
    <row r="40" spans="1:22" ht="18.75">
      <c r="A40" s="17" t="s">
        <v>182</v>
      </c>
      <c r="B40" s="18" t="s">
        <v>183</v>
      </c>
      <c r="C40" s="18" t="s">
        <v>70</v>
      </c>
      <c r="D40" s="18" t="s">
        <v>71</v>
      </c>
      <c r="E40" s="18"/>
      <c r="F40" s="18"/>
      <c r="G40" s="18" t="s">
        <v>903</v>
      </c>
      <c r="H40" s="18" t="s">
        <v>904</v>
      </c>
      <c r="I40" s="18" t="s">
        <v>905</v>
      </c>
      <c r="J40" s="18" t="s">
        <v>790</v>
      </c>
      <c r="K40" s="18" t="s">
        <v>828</v>
      </c>
      <c r="L40" s="18" t="s">
        <v>829</v>
      </c>
      <c r="M40" s="19">
        <v>0</v>
      </c>
      <c r="N40" s="19">
        <v>120</v>
      </c>
      <c r="O40" s="19">
        <v>0</v>
      </c>
      <c r="P40" s="20">
        <v>120</v>
      </c>
      <c r="Q40" s="19">
        <v>0</v>
      </c>
      <c r="R40" s="19">
        <v>0</v>
      </c>
      <c r="S40" s="19">
        <v>0</v>
      </c>
      <c r="T40" s="19">
        <v>0</v>
      </c>
      <c r="U40" s="18" t="s">
        <v>47</v>
      </c>
      <c r="V40" s="21" t="s">
        <v>839</v>
      </c>
    </row>
    <row r="41" spans="1:22" ht="18.75">
      <c r="A41" s="17" t="s">
        <v>182</v>
      </c>
      <c r="B41" s="18" t="s">
        <v>183</v>
      </c>
      <c r="C41" s="18" t="s">
        <v>70</v>
      </c>
      <c r="D41" s="18" t="s">
        <v>71</v>
      </c>
      <c r="E41" s="18"/>
      <c r="F41" s="18"/>
      <c r="G41" s="18" t="s">
        <v>903</v>
      </c>
      <c r="H41" s="18" t="s">
        <v>904</v>
      </c>
      <c r="I41" s="18" t="s">
        <v>905</v>
      </c>
      <c r="J41" s="18" t="s">
        <v>790</v>
      </c>
      <c r="K41" s="18" t="s">
        <v>856</v>
      </c>
      <c r="L41" s="18" t="s">
        <v>857</v>
      </c>
      <c r="M41" s="19">
        <v>0</v>
      </c>
      <c r="N41" s="19">
        <v>1042</v>
      </c>
      <c r="O41" s="19">
        <v>480</v>
      </c>
      <c r="P41" s="20">
        <v>562</v>
      </c>
      <c r="Q41" s="19">
        <v>0</v>
      </c>
      <c r="R41" s="19">
        <v>0</v>
      </c>
      <c r="S41" s="19">
        <v>0</v>
      </c>
      <c r="T41" s="19">
        <v>0</v>
      </c>
      <c r="U41" s="18" t="s">
        <v>789</v>
      </c>
      <c r="V41" s="21" t="s">
        <v>839</v>
      </c>
    </row>
    <row r="42" spans="1:22" ht="18.75">
      <c r="A42" s="17" t="s">
        <v>182</v>
      </c>
      <c r="B42" s="18" t="s">
        <v>183</v>
      </c>
      <c r="C42" s="18" t="s">
        <v>70</v>
      </c>
      <c r="D42" s="18" t="s">
        <v>71</v>
      </c>
      <c r="E42" s="18"/>
      <c r="F42" s="18"/>
      <c r="G42" s="18" t="s">
        <v>903</v>
      </c>
      <c r="H42" s="18" t="s">
        <v>904</v>
      </c>
      <c r="I42" s="18" t="s">
        <v>905</v>
      </c>
      <c r="J42" s="18" t="s">
        <v>790</v>
      </c>
      <c r="K42" s="18" t="s">
        <v>906</v>
      </c>
      <c r="L42" s="18" t="s">
        <v>907</v>
      </c>
      <c r="M42" s="19">
        <v>0</v>
      </c>
      <c r="N42" s="19">
        <v>160</v>
      </c>
      <c r="O42" s="19">
        <v>0</v>
      </c>
      <c r="P42" s="20">
        <v>160</v>
      </c>
      <c r="Q42" s="19">
        <v>0</v>
      </c>
      <c r="R42" s="19">
        <v>0</v>
      </c>
      <c r="S42" s="19">
        <v>0</v>
      </c>
      <c r="T42" s="19">
        <v>0</v>
      </c>
      <c r="U42" s="18" t="s">
        <v>47</v>
      </c>
      <c r="V42" s="21" t="s">
        <v>839</v>
      </c>
    </row>
    <row r="43" spans="1:22" ht="18.75">
      <c r="A43" s="17" t="s">
        <v>182</v>
      </c>
      <c r="B43" s="18" t="s">
        <v>183</v>
      </c>
      <c r="C43" s="18" t="s">
        <v>70</v>
      </c>
      <c r="D43" s="18" t="s">
        <v>71</v>
      </c>
      <c r="E43" s="18"/>
      <c r="F43" s="18"/>
      <c r="G43" s="18" t="s">
        <v>908</v>
      </c>
      <c r="H43" s="18" t="s">
        <v>909</v>
      </c>
      <c r="I43" s="18" t="s">
        <v>910</v>
      </c>
      <c r="J43" s="18" t="s">
        <v>790</v>
      </c>
      <c r="K43" s="18" t="s">
        <v>856</v>
      </c>
      <c r="L43" s="18" t="s">
        <v>857</v>
      </c>
      <c r="M43" s="19">
        <v>0</v>
      </c>
      <c r="N43" s="19">
        <v>539</v>
      </c>
      <c r="O43" s="19">
        <v>0</v>
      </c>
      <c r="P43" s="20">
        <v>539</v>
      </c>
      <c r="Q43" s="19">
        <v>0</v>
      </c>
      <c r="R43" s="19">
        <v>0</v>
      </c>
      <c r="S43" s="19">
        <v>0</v>
      </c>
      <c r="T43" s="19">
        <v>0</v>
      </c>
      <c r="U43" s="18" t="s">
        <v>789</v>
      </c>
      <c r="V43" s="21" t="s">
        <v>911</v>
      </c>
    </row>
    <row r="44" spans="1:22" ht="18.75">
      <c r="A44" s="17" t="s">
        <v>182</v>
      </c>
      <c r="B44" s="18" t="s">
        <v>183</v>
      </c>
      <c r="C44" s="18" t="s">
        <v>70</v>
      </c>
      <c r="D44" s="18" t="s">
        <v>71</v>
      </c>
      <c r="E44" s="18"/>
      <c r="F44" s="18"/>
      <c r="G44" s="18" t="s">
        <v>912</v>
      </c>
      <c r="H44" s="18" t="s">
        <v>913</v>
      </c>
      <c r="I44" s="18" t="s">
        <v>914</v>
      </c>
      <c r="J44" s="18" t="s">
        <v>790</v>
      </c>
      <c r="K44" s="18" t="s">
        <v>824</v>
      </c>
      <c r="L44" s="18" t="s">
        <v>825</v>
      </c>
      <c r="M44" s="19">
        <v>0</v>
      </c>
      <c r="N44" s="19">
        <v>320</v>
      </c>
      <c r="O44" s="19">
        <v>0</v>
      </c>
      <c r="P44" s="20">
        <v>320</v>
      </c>
      <c r="Q44" s="19">
        <v>0</v>
      </c>
      <c r="R44" s="19">
        <v>0</v>
      </c>
      <c r="S44" s="19">
        <v>0</v>
      </c>
      <c r="T44" s="19">
        <v>0</v>
      </c>
      <c r="U44" s="18" t="s">
        <v>826</v>
      </c>
      <c r="V44" s="21" t="s">
        <v>789</v>
      </c>
    </row>
    <row r="45" spans="1:22" ht="18.75">
      <c r="A45" s="17" t="s">
        <v>182</v>
      </c>
      <c r="B45" s="18" t="s">
        <v>183</v>
      </c>
      <c r="C45" s="18" t="s">
        <v>70</v>
      </c>
      <c r="D45" s="18" t="s">
        <v>71</v>
      </c>
      <c r="E45" s="18"/>
      <c r="F45" s="18"/>
      <c r="G45" s="18" t="s">
        <v>912</v>
      </c>
      <c r="H45" s="18" t="s">
        <v>913</v>
      </c>
      <c r="I45" s="18" t="s">
        <v>914</v>
      </c>
      <c r="J45" s="18" t="s">
        <v>790</v>
      </c>
      <c r="K45" s="18" t="s">
        <v>856</v>
      </c>
      <c r="L45" s="18" t="s">
        <v>857</v>
      </c>
      <c r="M45" s="19">
        <v>0</v>
      </c>
      <c r="N45" s="19">
        <v>400</v>
      </c>
      <c r="O45" s="19">
        <v>0</v>
      </c>
      <c r="P45" s="20">
        <v>400</v>
      </c>
      <c r="Q45" s="19">
        <v>0</v>
      </c>
      <c r="R45" s="19">
        <v>0</v>
      </c>
      <c r="S45" s="19">
        <v>0</v>
      </c>
      <c r="T45" s="19">
        <v>0</v>
      </c>
      <c r="U45" s="18" t="s">
        <v>789</v>
      </c>
      <c r="V45" s="21" t="s">
        <v>789</v>
      </c>
    </row>
    <row r="46" spans="1:22" ht="18.75">
      <c r="A46" s="17" t="s">
        <v>182</v>
      </c>
      <c r="B46" s="18" t="s">
        <v>183</v>
      </c>
      <c r="C46" s="18" t="s">
        <v>70</v>
      </c>
      <c r="D46" s="18" t="s">
        <v>71</v>
      </c>
      <c r="E46" s="18"/>
      <c r="F46" s="18"/>
      <c r="G46" s="18" t="s">
        <v>912</v>
      </c>
      <c r="H46" s="18" t="s">
        <v>913</v>
      </c>
      <c r="I46" s="18" t="s">
        <v>914</v>
      </c>
      <c r="J46" s="18" t="s">
        <v>790</v>
      </c>
      <c r="K46" s="18" t="s">
        <v>843</v>
      </c>
      <c r="L46" s="18" t="s">
        <v>844</v>
      </c>
      <c r="M46" s="19">
        <v>0</v>
      </c>
      <c r="N46" s="19">
        <v>230</v>
      </c>
      <c r="O46" s="19">
        <v>98</v>
      </c>
      <c r="P46" s="20">
        <v>132</v>
      </c>
      <c r="Q46" s="19">
        <v>0</v>
      </c>
      <c r="R46" s="19">
        <v>0</v>
      </c>
      <c r="S46" s="19">
        <v>0</v>
      </c>
      <c r="T46" s="19">
        <v>0</v>
      </c>
      <c r="U46" s="18" t="s">
        <v>874</v>
      </c>
      <c r="V46" s="21" t="s">
        <v>789</v>
      </c>
    </row>
    <row r="47" spans="1:22" ht="18.75">
      <c r="A47" s="17" t="s">
        <v>182</v>
      </c>
      <c r="B47" s="18" t="s">
        <v>183</v>
      </c>
      <c r="C47" s="18" t="s">
        <v>70</v>
      </c>
      <c r="D47" s="18" t="s">
        <v>71</v>
      </c>
      <c r="E47" s="18"/>
      <c r="F47" s="18"/>
      <c r="G47" s="18" t="s">
        <v>915</v>
      </c>
      <c r="H47" s="18" t="s">
        <v>916</v>
      </c>
      <c r="I47" s="18" t="s">
        <v>917</v>
      </c>
      <c r="J47" s="18" t="s">
        <v>790</v>
      </c>
      <c r="K47" s="18" t="s">
        <v>843</v>
      </c>
      <c r="L47" s="18" t="s">
        <v>844</v>
      </c>
      <c r="M47" s="19">
        <v>0</v>
      </c>
      <c r="N47" s="19">
        <v>400</v>
      </c>
      <c r="O47" s="19">
        <v>0</v>
      </c>
      <c r="P47" s="20">
        <v>400</v>
      </c>
      <c r="Q47" s="19">
        <v>0</v>
      </c>
      <c r="R47" s="19">
        <v>0</v>
      </c>
      <c r="S47" s="19">
        <v>0</v>
      </c>
      <c r="T47" s="19">
        <v>0</v>
      </c>
      <c r="U47" s="18" t="s">
        <v>874</v>
      </c>
      <c r="V47" s="21" t="s">
        <v>918</v>
      </c>
    </row>
    <row r="48" spans="1:22" ht="18.75">
      <c r="A48" s="17" t="s">
        <v>186</v>
      </c>
      <c r="B48" s="18" t="s">
        <v>187</v>
      </c>
      <c r="C48" s="18" t="s">
        <v>70</v>
      </c>
      <c r="D48" s="18" t="s">
        <v>71</v>
      </c>
      <c r="E48" s="18"/>
      <c r="F48" s="18"/>
      <c r="G48" s="18" t="s">
        <v>881</v>
      </c>
      <c r="H48" s="18" t="s">
        <v>882</v>
      </c>
      <c r="I48" s="18" t="s">
        <v>854</v>
      </c>
      <c r="J48" s="18" t="s">
        <v>790</v>
      </c>
      <c r="K48" s="18" t="s">
        <v>828</v>
      </c>
      <c r="L48" s="18" t="s">
        <v>829</v>
      </c>
      <c r="M48" s="19">
        <v>0</v>
      </c>
      <c r="N48" s="19">
        <v>85</v>
      </c>
      <c r="O48" s="19">
        <v>64</v>
      </c>
      <c r="P48" s="20">
        <v>21</v>
      </c>
      <c r="Q48" s="19">
        <v>0</v>
      </c>
      <c r="R48" s="19">
        <v>0</v>
      </c>
      <c r="S48" s="19">
        <v>0</v>
      </c>
      <c r="T48" s="19">
        <v>0</v>
      </c>
      <c r="U48" s="18" t="s">
        <v>919</v>
      </c>
      <c r="V48" s="21" t="s">
        <v>902</v>
      </c>
    </row>
    <row r="49" spans="1:22" ht="18.75">
      <c r="A49" s="17" t="s">
        <v>186</v>
      </c>
      <c r="B49" s="18" t="s">
        <v>187</v>
      </c>
      <c r="C49" s="18" t="s">
        <v>70</v>
      </c>
      <c r="D49" s="18" t="s">
        <v>71</v>
      </c>
      <c r="E49" s="18"/>
      <c r="F49" s="18"/>
      <c r="G49" s="18" t="s">
        <v>881</v>
      </c>
      <c r="H49" s="18" t="s">
        <v>882</v>
      </c>
      <c r="I49" s="18" t="s">
        <v>854</v>
      </c>
      <c r="J49" s="18" t="s">
        <v>790</v>
      </c>
      <c r="K49" s="18" t="s">
        <v>843</v>
      </c>
      <c r="L49" s="18" t="s">
        <v>844</v>
      </c>
      <c r="M49" s="19">
        <v>0</v>
      </c>
      <c r="N49" s="19">
        <v>14</v>
      </c>
      <c r="O49" s="19">
        <v>5</v>
      </c>
      <c r="P49" s="20">
        <v>9</v>
      </c>
      <c r="Q49" s="19">
        <v>0</v>
      </c>
      <c r="R49" s="19">
        <v>0</v>
      </c>
      <c r="S49" s="19">
        <v>0</v>
      </c>
      <c r="T49" s="19">
        <v>0</v>
      </c>
      <c r="U49" s="18" t="s">
        <v>47</v>
      </c>
      <c r="V49" s="21" t="s">
        <v>902</v>
      </c>
    </row>
    <row r="50" spans="1:22" ht="18.75">
      <c r="A50" s="17" t="s">
        <v>186</v>
      </c>
      <c r="B50" s="18" t="s">
        <v>187</v>
      </c>
      <c r="C50" s="18" t="s">
        <v>70</v>
      </c>
      <c r="D50" s="18" t="s">
        <v>71</v>
      </c>
      <c r="E50" s="18"/>
      <c r="F50" s="18"/>
      <c r="G50" s="18" t="s">
        <v>920</v>
      </c>
      <c r="H50" s="18" t="s">
        <v>921</v>
      </c>
      <c r="I50" s="18" t="s">
        <v>922</v>
      </c>
      <c r="J50" s="18" t="s">
        <v>790</v>
      </c>
      <c r="K50" s="18" t="s">
        <v>824</v>
      </c>
      <c r="L50" s="18" t="s">
        <v>825</v>
      </c>
      <c r="M50" s="19">
        <v>0</v>
      </c>
      <c r="N50" s="19">
        <v>45</v>
      </c>
      <c r="O50" s="19">
        <v>3</v>
      </c>
      <c r="P50" s="20">
        <v>42</v>
      </c>
      <c r="Q50" s="19">
        <v>0</v>
      </c>
      <c r="R50" s="19">
        <v>0</v>
      </c>
      <c r="S50" s="19">
        <v>0</v>
      </c>
      <c r="T50" s="19">
        <v>0</v>
      </c>
      <c r="U50" s="18" t="s">
        <v>796</v>
      </c>
      <c r="V50" s="21" t="s">
        <v>796</v>
      </c>
    </row>
    <row r="51" spans="1:22" ht="18.75">
      <c r="A51" s="17" t="s">
        <v>186</v>
      </c>
      <c r="B51" s="18" t="s">
        <v>187</v>
      </c>
      <c r="C51" s="18" t="s">
        <v>70</v>
      </c>
      <c r="D51" s="18" t="s">
        <v>71</v>
      </c>
      <c r="E51" s="18"/>
      <c r="F51" s="18"/>
      <c r="G51" s="18" t="s">
        <v>920</v>
      </c>
      <c r="H51" s="18" t="s">
        <v>921</v>
      </c>
      <c r="I51" s="18" t="s">
        <v>922</v>
      </c>
      <c r="J51" s="18" t="s">
        <v>790</v>
      </c>
      <c r="K51" s="18" t="s">
        <v>800</v>
      </c>
      <c r="L51" s="18" t="s">
        <v>801</v>
      </c>
      <c r="M51" s="19">
        <v>0</v>
      </c>
      <c r="N51" s="19">
        <v>1</v>
      </c>
      <c r="O51" s="19">
        <v>0</v>
      </c>
      <c r="P51" s="20">
        <v>1</v>
      </c>
      <c r="Q51" s="19">
        <v>0</v>
      </c>
      <c r="R51" s="19">
        <v>0</v>
      </c>
      <c r="S51" s="19">
        <v>0</v>
      </c>
      <c r="T51" s="19">
        <v>0</v>
      </c>
      <c r="U51" s="18" t="s">
        <v>796</v>
      </c>
      <c r="V51" s="21" t="s">
        <v>796</v>
      </c>
    </row>
    <row r="52" spans="1:22" ht="18.75">
      <c r="A52" s="17" t="s">
        <v>68</v>
      </c>
      <c r="B52" s="18" t="s">
        <v>69</v>
      </c>
      <c r="C52" s="18" t="s">
        <v>70</v>
      </c>
      <c r="D52" s="18" t="s">
        <v>71</v>
      </c>
      <c r="E52" s="18"/>
      <c r="F52" s="18"/>
      <c r="G52" s="18" t="s">
        <v>923</v>
      </c>
      <c r="H52" s="18" t="s">
        <v>924</v>
      </c>
      <c r="I52" s="18"/>
      <c r="J52" s="18" t="s">
        <v>790</v>
      </c>
      <c r="K52" s="18" t="s">
        <v>800</v>
      </c>
      <c r="L52" s="18" t="s">
        <v>801</v>
      </c>
      <c r="M52" s="19">
        <v>0</v>
      </c>
      <c r="N52" s="19">
        <v>5</v>
      </c>
      <c r="O52" s="19">
        <v>2</v>
      </c>
      <c r="P52" s="20">
        <v>3</v>
      </c>
      <c r="Q52" s="19">
        <v>0</v>
      </c>
      <c r="R52" s="19">
        <v>0</v>
      </c>
      <c r="S52" s="19">
        <v>0</v>
      </c>
      <c r="T52" s="19">
        <v>0</v>
      </c>
      <c r="U52" s="18" t="s">
        <v>925</v>
      </c>
      <c r="V52" s="21" t="s">
        <v>803</v>
      </c>
    </row>
    <row r="53" spans="1:22" ht="18.75">
      <c r="A53" s="17" t="s">
        <v>68</v>
      </c>
      <c r="B53" s="18" t="s">
        <v>69</v>
      </c>
      <c r="C53" s="18" t="s">
        <v>70</v>
      </c>
      <c r="D53" s="18" t="s">
        <v>71</v>
      </c>
      <c r="E53" s="18"/>
      <c r="F53" s="18"/>
      <c r="G53" s="18" t="s">
        <v>926</v>
      </c>
      <c r="H53" s="18" t="s">
        <v>927</v>
      </c>
      <c r="I53" s="18"/>
      <c r="J53" s="18" t="s">
        <v>790</v>
      </c>
      <c r="K53" s="18" t="s">
        <v>800</v>
      </c>
      <c r="L53" s="18" t="s">
        <v>801</v>
      </c>
      <c r="M53" s="19">
        <v>0</v>
      </c>
      <c r="N53" s="19">
        <v>1</v>
      </c>
      <c r="O53" s="19">
        <v>0</v>
      </c>
      <c r="P53" s="20">
        <v>1</v>
      </c>
      <c r="Q53" s="19">
        <v>0</v>
      </c>
      <c r="R53" s="19">
        <v>0</v>
      </c>
      <c r="S53" s="19">
        <v>0</v>
      </c>
      <c r="T53" s="19">
        <v>0</v>
      </c>
      <c r="U53" s="18" t="s">
        <v>925</v>
      </c>
      <c r="V53" s="21" t="s">
        <v>928</v>
      </c>
    </row>
    <row r="54" spans="1:22" ht="18.75">
      <c r="A54" s="17" t="s">
        <v>68</v>
      </c>
      <c r="B54" s="18" t="s">
        <v>69</v>
      </c>
      <c r="C54" s="18" t="s">
        <v>70</v>
      </c>
      <c r="D54" s="18" t="s">
        <v>71</v>
      </c>
      <c r="E54" s="18"/>
      <c r="F54" s="18"/>
      <c r="G54" s="18" t="s">
        <v>929</v>
      </c>
      <c r="H54" s="18" t="s">
        <v>930</v>
      </c>
      <c r="I54" s="18" t="s">
        <v>931</v>
      </c>
      <c r="J54" s="18" t="s">
        <v>790</v>
      </c>
      <c r="K54" s="18" t="s">
        <v>932</v>
      </c>
      <c r="L54" s="18" t="s">
        <v>933</v>
      </c>
      <c r="M54" s="19">
        <v>0</v>
      </c>
      <c r="N54" s="19">
        <v>1</v>
      </c>
      <c r="O54" s="19">
        <v>0</v>
      </c>
      <c r="P54" s="20">
        <v>1</v>
      </c>
      <c r="Q54" s="19">
        <v>0</v>
      </c>
      <c r="R54" s="19">
        <v>0</v>
      </c>
      <c r="S54" s="19">
        <v>0</v>
      </c>
      <c r="T54" s="19">
        <v>0</v>
      </c>
      <c r="U54" s="18" t="s">
        <v>820</v>
      </c>
      <c r="V54" s="21" t="s">
        <v>888</v>
      </c>
    </row>
    <row r="55" spans="1:22" ht="18.75">
      <c r="A55" s="17" t="s">
        <v>68</v>
      </c>
      <c r="B55" s="18" t="s">
        <v>69</v>
      </c>
      <c r="C55" s="18" t="s">
        <v>70</v>
      </c>
      <c r="D55" s="18" t="s">
        <v>71</v>
      </c>
      <c r="E55" s="18"/>
      <c r="F55" s="18"/>
      <c r="G55" s="18" t="s">
        <v>934</v>
      </c>
      <c r="H55" s="18" t="s">
        <v>935</v>
      </c>
      <c r="I55" s="18" t="s">
        <v>936</v>
      </c>
      <c r="J55" s="18" t="s">
        <v>790</v>
      </c>
      <c r="K55" s="18" t="s">
        <v>810</v>
      </c>
      <c r="L55" s="18" t="s">
        <v>811</v>
      </c>
      <c r="M55" s="19">
        <v>0</v>
      </c>
      <c r="N55" s="19">
        <v>1</v>
      </c>
      <c r="O55" s="19">
        <v>0</v>
      </c>
      <c r="P55" s="20">
        <v>1</v>
      </c>
      <c r="Q55" s="19">
        <v>0</v>
      </c>
      <c r="R55" s="19">
        <v>0</v>
      </c>
      <c r="S55" s="19">
        <v>0</v>
      </c>
      <c r="T55" s="19">
        <v>0</v>
      </c>
      <c r="U55" s="18" t="s">
        <v>911</v>
      </c>
      <c r="V55" s="21" t="s">
        <v>902</v>
      </c>
    </row>
    <row r="56" spans="1:22" ht="18.75">
      <c r="A56" s="17" t="s">
        <v>68</v>
      </c>
      <c r="B56" s="18" t="s">
        <v>69</v>
      </c>
      <c r="C56" s="18" t="s">
        <v>70</v>
      </c>
      <c r="D56" s="18" t="s">
        <v>71</v>
      </c>
      <c r="E56" s="18"/>
      <c r="F56" s="18"/>
      <c r="G56" s="18" t="s">
        <v>894</v>
      </c>
      <c r="H56" s="18" t="s">
        <v>895</v>
      </c>
      <c r="I56" s="18" t="s">
        <v>896</v>
      </c>
      <c r="J56" s="18" t="s">
        <v>790</v>
      </c>
      <c r="K56" s="18" t="s">
        <v>824</v>
      </c>
      <c r="L56" s="18" t="s">
        <v>825</v>
      </c>
      <c r="M56" s="19">
        <v>0</v>
      </c>
      <c r="N56" s="19">
        <v>308</v>
      </c>
      <c r="O56" s="19">
        <v>23</v>
      </c>
      <c r="P56" s="20">
        <v>285</v>
      </c>
      <c r="Q56" s="19">
        <v>0</v>
      </c>
      <c r="R56" s="19">
        <v>0</v>
      </c>
      <c r="S56" s="19">
        <v>0</v>
      </c>
      <c r="T56" s="19">
        <v>0</v>
      </c>
      <c r="U56" s="18" t="s">
        <v>796</v>
      </c>
      <c r="V56" s="21" t="s">
        <v>789</v>
      </c>
    </row>
    <row r="57" spans="1:22" ht="18.75">
      <c r="A57" s="17" t="s">
        <v>68</v>
      </c>
      <c r="B57" s="18" t="s">
        <v>69</v>
      </c>
      <c r="C57" s="18" t="s">
        <v>70</v>
      </c>
      <c r="D57" s="18" t="s">
        <v>71</v>
      </c>
      <c r="E57" s="18"/>
      <c r="F57" s="18"/>
      <c r="G57" s="18" t="s">
        <v>894</v>
      </c>
      <c r="H57" s="18" t="s">
        <v>895</v>
      </c>
      <c r="I57" s="18" t="s">
        <v>896</v>
      </c>
      <c r="J57" s="18" t="s">
        <v>790</v>
      </c>
      <c r="K57" s="18" t="s">
        <v>828</v>
      </c>
      <c r="L57" s="18" t="s">
        <v>829</v>
      </c>
      <c r="M57" s="19">
        <v>0</v>
      </c>
      <c r="N57" s="19">
        <v>120</v>
      </c>
      <c r="O57" s="19">
        <v>27</v>
      </c>
      <c r="P57" s="20">
        <v>93</v>
      </c>
      <c r="Q57" s="19">
        <v>0</v>
      </c>
      <c r="R57" s="19">
        <v>0</v>
      </c>
      <c r="S57" s="19">
        <v>0</v>
      </c>
      <c r="T57" s="19">
        <v>0</v>
      </c>
      <c r="U57" s="18" t="s">
        <v>937</v>
      </c>
      <c r="V57" s="21" t="s">
        <v>789</v>
      </c>
    </row>
    <row r="58" spans="1:22" ht="18.75">
      <c r="A58" s="17" t="s">
        <v>68</v>
      </c>
      <c r="B58" s="18" t="s">
        <v>69</v>
      </c>
      <c r="C58" s="18" t="s">
        <v>70</v>
      </c>
      <c r="D58" s="18" t="s">
        <v>71</v>
      </c>
      <c r="E58" s="18"/>
      <c r="F58" s="18"/>
      <c r="G58" s="18" t="s">
        <v>894</v>
      </c>
      <c r="H58" s="18" t="s">
        <v>895</v>
      </c>
      <c r="I58" s="18" t="s">
        <v>896</v>
      </c>
      <c r="J58" s="18" t="s">
        <v>790</v>
      </c>
      <c r="K58" s="18" t="s">
        <v>843</v>
      </c>
      <c r="L58" s="18" t="s">
        <v>844</v>
      </c>
      <c r="M58" s="19">
        <v>0</v>
      </c>
      <c r="N58" s="19">
        <v>200</v>
      </c>
      <c r="O58" s="19">
        <v>130</v>
      </c>
      <c r="P58" s="20">
        <v>70</v>
      </c>
      <c r="Q58" s="19">
        <v>0</v>
      </c>
      <c r="R58" s="19">
        <v>0</v>
      </c>
      <c r="S58" s="19">
        <v>0</v>
      </c>
      <c r="T58" s="19">
        <v>0</v>
      </c>
      <c r="U58" s="18" t="s">
        <v>874</v>
      </c>
      <c r="V58" s="21" t="s">
        <v>789</v>
      </c>
    </row>
    <row r="59" spans="1:22" ht="18.75">
      <c r="A59" s="17" t="s">
        <v>68</v>
      </c>
      <c r="B59" s="18" t="s">
        <v>69</v>
      </c>
      <c r="C59" s="18" t="s">
        <v>70</v>
      </c>
      <c r="D59" s="18" t="s">
        <v>71</v>
      </c>
      <c r="E59" s="18"/>
      <c r="F59" s="18"/>
      <c r="G59" s="18" t="s">
        <v>938</v>
      </c>
      <c r="H59" s="18" t="s">
        <v>939</v>
      </c>
      <c r="I59" s="18" t="s">
        <v>940</v>
      </c>
      <c r="J59" s="18" t="s">
        <v>790</v>
      </c>
      <c r="K59" s="18" t="s">
        <v>824</v>
      </c>
      <c r="L59" s="18" t="s">
        <v>825</v>
      </c>
      <c r="M59" s="19">
        <v>0</v>
      </c>
      <c r="N59" s="19">
        <v>132</v>
      </c>
      <c r="O59" s="19">
        <v>0</v>
      </c>
      <c r="P59" s="20">
        <v>132</v>
      </c>
      <c r="Q59" s="19">
        <v>0</v>
      </c>
      <c r="R59" s="19">
        <v>0</v>
      </c>
      <c r="S59" s="19">
        <v>0</v>
      </c>
      <c r="T59" s="19">
        <v>0</v>
      </c>
      <c r="U59" s="18" t="s">
        <v>796</v>
      </c>
      <c r="V59" s="21" t="s">
        <v>918</v>
      </c>
    </row>
    <row r="60" spans="1:22" ht="18.75">
      <c r="A60" s="17" t="s">
        <v>68</v>
      </c>
      <c r="B60" s="18" t="s">
        <v>69</v>
      </c>
      <c r="C60" s="18" t="s">
        <v>70</v>
      </c>
      <c r="D60" s="18" t="s">
        <v>71</v>
      </c>
      <c r="E60" s="18"/>
      <c r="F60" s="18"/>
      <c r="G60" s="18" t="s">
        <v>938</v>
      </c>
      <c r="H60" s="18" t="s">
        <v>939</v>
      </c>
      <c r="I60" s="18" t="s">
        <v>940</v>
      </c>
      <c r="J60" s="18" t="s">
        <v>790</v>
      </c>
      <c r="K60" s="18" t="s">
        <v>856</v>
      </c>
      <c r="L60" s="18" t="s">
        <v>857</v>
      </c>
      <c r="M60" s="19">
        <v>0</v>
      </c>
      <c r="N60" s="19">
        <v>320</v>
      </c>
      <c r="O60" s="19">
        <v>0</v>
      </c>
      <c r="P60" s="20">
        <v>320</v>
      </c>
      <c r="Q60" s="19">
        <v>0</v>
      </c>
      <c r="R60" s="19">
        <v>0</v>
      </c>
      <c r="S60" s="19">
        <v>0</v>
      </c>
      <c r="T60" s="19">
        <v>0</v>
      </c>
      <c r="U60" s="18" t="s">
        <v>30</v>
      </c>
      <c r="V60" s="21" t="s">
        <v>918</v>
      </c>
    </row>
    <row r="61" spans="1:22" ht="18.75">
      <c r="A61" s="17" t="s">
        <v>68</v>
      </c>
      <c r="B61" s="18" t="s">
        <v>69</v>
      </c>
      <c r="C61" s="18" t="s">
        <v>70</v>
      </c>
      <c r="D61" s="18" t="s">
        <v>71</v>
      </c>
      <c r="E61" s="18"/>
      <c r="F61" s="18"/>
      <c r="G61" s="18" t="s">
        <v>938</v>
      </c>
      <c r="H61" s="18" t="s">
        <v>939</v>
      </c>
      <c r="I61" s="18" t="s">
        <v>940</v>
      </c>
      <c r="J61" s="18" t="s">
        <v>790</v>
      </c>
      <c r="K61" s="18" t="s">
        <v>843</v>
      </c>
      <c r="L61" s="18" t="s">
        <v>844</v>
      </c>
      <c r="M61" s="19">
        <v>0</v>
      </c>
      <c r="N61" s="19">
        <v>250</v>
      </c>
      <c r="O61" s="19">
        <v>0</v>
      </c>
      <c r="P61" s="20">
        <v>250</v>
      </c>
      <c r="Q61" s="19">
        <v>0</v>
      </c>
      <c r="R61" s="19">
        <v>0</v>
      </c>
      <c r="S61" s="19">
        <v>0</v>
      </c>
      <c r="T61" s="19">
        <v>0</v>
      </c>
      <c r="U61" s="18" t="s">
        <v>874</v>
      </c>
      <c r="V61" s="21" t="s">
        <v>918</v>
      </c>
    </row>
    <row r="62" spans="1:22" ht="18.75">
      <c r="A62" s="17" t="s">
        <v>190</v>
      </c>
      <c r="B62" s="18" t="s">
        <v>191</v>
      </c>
      <c r="C62" s="18" t="s">
        <v>872</v>
      </c>
      <c r="D62" s="18" t="s">
        <v>63</v>
      </c>
      <c r="E62" s="18"/>
      <c r="F62" s="18"/>
      <c r="G62" s="18" t="s">
        <v>941</v>
      </c>
      <c r="H62" s="18" t="s">
        <v>942</v>
      </c>
      <c r="I62" s="18" t="s">
        <v>943</v>
      </c>
      <c r="J62" s="18" t="s">
        <v>790</v>
      </c>
      <c r="K62" s="18" t="s">
        <v>843</v>
      </c>
      <c r="L62" s="18" t="s">
        <v>844</v>
      </c>
      <c r="M62" s="19">
        <v>0</v>
      </c>
      <c r="N62" s="19">
        <v>25</v>
      </c>
      <c r="O62" s="19">
        <v>24</v>
      </c>
      <c r="P62" s="20">
        <v>1</v>
      </c>
      <c r="Q62" s="19">
        <v>0</v>
      </c>
      <c r="R62" s="19">
        <v>0</v>
      </c>
      <c r="S62" s="19">
        <v>0</v>
      </c>
      <c r="T62" s="19">
        <v>0</v>
      </c>
      <c r="U62" s="18" t="s">
        <v>944</v>
      </c>
      <c r="V62" s="21" t="s">
        <v>860</v>
      </c>
    </row>
    <row r="63" spans="1:22" ht="18.75">
      <c r="A63" s="17" t="s">
        <v>190</v>
      </c>
      <c r="B63" s="18" t="s">
        <v>191</v>
      </c>
      <c r="C63" s="18" t="s">
        <v>872</v>
      </c>
      <c r="D63" s="18" t="s">
        <v>63</v>
      </c>
      <c r="E63" s="18"/>
      <c r="F63" s="18"/>
      <c r="G63" s="18" t="s">
        <v>945</v>
      </c>
      <c r="H63" s="18" t="s">
        <v>946</v>
      </c>
      <c r="I63" s="18" t="s">
        <v>947</v>
      </c>
      <c r="J63" s="18" t="s">
        <v>790</v>
      </c>
      <c r="K63" s="18" t="s">
        <v>828</v>
      </c>
      <c r="L63" s="18" t="s">
        <v>829</v>
      </c>
      <c r="M63" s="19">
        <v>0</v>
      </c>
      <c r="N63" s="19">
        <v>125</v>
      </c>
      <c r="O63" s="19">
        <v>57</v>
      </c>
      <c r="P63" s="20">
        <v>68</v>
      </c>
      <c r="Q63" s="19">
        <v>0</v>
      </c>
      <c r="R63" s="19">
        <v>0</v>
      </c>
      <c r="S63" s="19">
        <v>0</v>
      </c>
      <c r="T63" s="19">
        <v>0</v>
      </c>
      <c r="U63" s="18" t="s">
        <v>918</v>
      </c>
      <c r="V63" s="21" t="s">
        <v>879</v>
      </c>
    </row>
    <row r="64" spans="1:22" ht="18.75">
      <c r="A64" s="17" t="s">
        <v>192</v>
      </c>
      <c r="B64" s="18" t="s">
        <v>193</v>
      </c>
      <c r="C64" s="18" t="s">
        <v>70</v>
      </c>
      <c r="D64" s="18" t="s">
        <v>71</v>
      </c>
      <c r="E64" s="18"/>
      <c r="F64" s="18"/>
      <c r="G64" s="18" t="s">
        <v>948</v>
      </c>
      <c r="H64" s="18" t="s">
        <v>949</v>
      </c>
      <c r="I64" s="18" t="s">
        <v>884</v>
      </c>
      <c r="J64" s="18" t="s">
        <v>790</v>
      </c>
      <c r="K64" s="18" t="s">
        <v>824</v>
      </c>
      <c r="L64" s="18" t="s">
        <v>825</v>
      </c>
      <c r="M64" s="19">
        <v>0</v>
      </c>
      <c r="N64" s="19">
        <v>41</v>
      </c>
      <c r="O64" s="19">
        <v>40</v>
      </c>
      <c r="P64" s="20">
        <v>1</v>
      </c>
      <c r="Q64" s="19">
        <v>0</v>
      </c>
      <c r="R64" s="19">
        <v>0</v>
      </c>
      <c r="S64" s="19">
        <v>0</v>
      </c>
      <c r="T64" s="19">
        <v>0</v>
      </c>
      <c r="U64" s="18" t="s">
        <v>796</v>
      </c>
      <c r="V64" s="21" t="s">
        <v>820</v>
      </c>
    </row>
    <row r="65" spans="1:22" ht="18.75">
      <c r="A65" s="17" t="s">
        <v>192</v>
      </c>
      <c r="B65" s="18" t="s">
        <v>193</v>
      </c>
      <c r="C65" s="18" t="s">
        <v>70</v>
      </c>
      <c r="D65" s="18" t="s">
        <v>71</v>
      </c>
      <c r="E65" s="18"/>
      <c r="F65" s="18"/>
      <c r="G65" s="18" t="s">
        <v>948</v>
      </c>
      <c r="H65" s="18" t="s">
        <v>949</v>
      </c>
      <c r="I65" s="18" t="s">
        <v>884</v>
      </c>
      <c r="J65" s="18" t="s">
        <v>790</v>
      </c>
      <c r="K65" s="18" t="s">
        <v>791</v>
      </c>
      <c r="L65" s="18" t="s">
        <v>792</v>
      </c>
      <c r="M65" s="19">
        <v>0</v>
      </c>
      <c r="N65" s="19">
        <v>1</v>
      </c>
      <c r="O65" s="19">
        <v>0</v>
      </c>
      <c r="P65" s="20">
        <v>1</v>
      </c>
      <c r="Q65" s="19">
        <v>0</v>
      </c>
      <c r="R65" s="19">
        <v>0</v>
      </c>
      <c r="S65" s="19">
        <v>0</v>
      </c>
      <c r="T65" s="19">
        <v>0</v>
      </c>
      <c r="U65" s="18" t="s">
        <v>874</v>
      </c>
      <c r="V65" s="21" t="s">
        <v>820</v>
      </c>
    </row>
    <row r="66" spans="1:22" ht="18.75">
      <c r="A66" s="17" t="s">
        <v>192</v>
      </c>
      <c r="B66" s="18" t="s">
        <v>193</v>
      </c>
      <c r="C66" s="18" t="s">
        <v>70</v>
      </c>
      <c r="D66" s="18" t="s">
        <v>71</v>
      </c>
      <c r="E66" s="18"/>
      <c r="F66" s="18"/>
      <c r="G66" s="18" t="s">
        <v>950</v>
      </c>
      <c r="H66" s="18" t="s">
        <v>951</v>
      </c>
      <c r="I66" s="18" t="s">
        <v>952</v>
      </c>
      <c r="J66" s="18" t="s">
        <v>790</v>
      </c>
      <c r="K66" s="18" t="s">
        <v>828</v>
      </c>
      <c r="L66" s="18" t="s">
        <v>829</v>
      </c>
      <c r="M66" s="19">
        <v>0</v>
      </c>
      <c r="N66" s="19">
        <v>50</v>
      </c>
      <c r="O66" s="19">
        <v>30</v>
      </c>
      <c r="P66" s="20">
        <v>20</v>
      </c>
      <c r="Q66" s="19">
        <v>0</v>
      </c>
      <c r="R66" s="19">
        <v>0</v>
      </c>
      <c r="S66" s="19">
        <v>0</v>
      </c>
      <c r="T66" s="19">
        <v>0</v>
      </c>
      <c r="U66" s="18" t="s">
        <v>953</v>
      </c>
      <c r="V66" s="21" t="s">
        <v>902</v>
      </c>
    </row>
    <row r="67" spans="1:22" ht="18.75">
      <c r="A67" s="17" t="s">
        <v>192</v>
      </c>
      <c r="B67" s="18" t="s">
        <v>193</v>
      </c>
      <c r="C67" s="18" t="s">
        <v>70</v>
      </c>
      <c r="D67" s="18" t="s">
        <v>71</v>
      </c>
      <c r="E67" s="18"/>
      <c r="F67" s="18"/>
      <c r="G67" s="18" t="s">
        <v>950</v>
      </c>
      <c r="H67" s="18" t="s">
        <v>951</v>
      </c>
      <c r="I67" s="18" t="s">
        <v>952</v>
      </c>
      <c r="J67" s="18" t="s">
        <v>790</v>
      </c>
      <c r="K67" s="18" t="s">
        <v>856</v>
      </c>
      <c r="L67" s="18" t="s">
        <v>857</v>
      </c>
      <c r="M67" s="19">
        <v>0</v>
      </c>
      <c r="N67" s="19">
        <v>90</v>
      </c>
      <c r="O67" s="19">
        <v>50</v>
      </c>
      <c r="P67" s="20">
        <v>40</v>
      </c>
      <c r="Q67" s="19">
        <v>0</v>
      </c>
      <c r="R67" s="19">
        <v>0</v>
      </c>
      <c r="S67" s="19">
        <v>0</v>
      </c>
      <c r="T67" s="19">
        <v>0</v>
      </c>
      <c r="U67" s="18" t="s">
        <v>902</v>
      </c>
      <c r="V67" s="21" t="s">
        <v>902</v>
      </c>
    </row>
    <row r="68" spans="1:22" ht="18.75">
      <c r="A68" s="17" t="s">
        <v>192</v>
      </c>
      <c r="B68" s="18" t="s">
        <v>193</v>
      </c>
      <c r="C68" s="18" t="s">
        <v>70</v>
      </c>
      <c r="D68" s="18" t="s">
        <v>71</v>
      </c>
      <c r="E68" s="18"/>
      <c r="F68" s="18"/>
      <c r="G68" s="18" t="s">
        <v>950</v>
      </c>
      <c r="H68" s="18" t="s">
        <v>951</v>
      </c>
      <c r="I68" s="18" t="s">
        <v>952</v>
      </c>
      <c r="J68" s="18" t="s">
        <v>790</v>
      </c>
      <c r="K68" s="18" t="s">
        <v>843</v>
      </c>
      <c r="L68" s="18" t="s">
        <v>844</v>
      </c>
      <c r="M68" s="19">
        <v>0</v>
      </c>
      <c r="N68" s="19">
        <v>16</v>
      </c>
      <c r="O68" s="19">
        <v>8</v>
      </c>
      <c r="P68" s="20">
        <v>8</v>
      </c>
      <c r="Q68" s="19">
        <v>0</v>
      </c>
      <c r="R68" s="19">
        <v>0</v>
      </c>
      <c r="S68" s="19">
        <v>0</v>
      </c>
      <c r="T68" s="19">
        <v>0</v>
      </c>
      <c r="U68" s="18" t="s">
        <v>47</v>
      </c>
      <c r="V68" s="21" t="s">
        <v>902</v>
      </c>
    </row>
    <row r="69" spans="1:22" ht="18.75">
      <c r="A69" s="17" t="s">
        <v>192</v>
      </c>
      <c r="B69" s="18" t="s">
        <v>193</v>
      </c>
      <c r="C69" s="18" t="s">
        <v>70</v>
      </c>
      <c r="D69" s="18" t="s">
        <v>71</v>
      </c>
      <c r="E69" s="18"/>
      <c r="F69" s="18"/>
      <c r="G69" s="18" t="s">
        <v>950</v>
      </c>
      <c r="H69" s="18" t="s">
        <v>951</v>
      </c>
      <c r="I69" s="18" t="s">
        <v>952</v>
      </c>
      <c r="J69" s="18" t="s">
        <v>790</v>
      </c>
      <c r="K69" s="18" t="s">
        <v>810</v>
      </c>
      <c r="L69" s="18" t="s">
        <v>811</v>
      </c>
      <c r="M69" s="19">
        <v>0</v>
      </c>
      <c r="N69" s="19">
        <v>1</v>
      </c>
      <c r="O69" s="19">
        <v>0</v>
      </c>
      <c r="P69" s="20">
        <v>1</v>
      </c>
      <c r="Q69" s="19">
        <v>0</v>
      </c>
      <c r="R69" s="19">
        <v>0</v>
      </c>
      <c r="S69" s="19">
        <v>0</v>
      </c>
      <c r="T69" s="19">
        <v>0</v>
      </c>
      <c r="U69" s="18" t="s">
        <v>954</v>
      </c>
      <c r="V69" s="21" t="s">
        <v>902</v>
      </c>
    </row>
    <row r="70" spans="1:22" ht="18.75">
      <c r="A70" s="17" t="s">
        <v>192</v>
      </c>
      <c r="B70" s="18" t="s">
        <v>193</v>
      </c>
      <c r="C70" s="18" t="s">
        <v>70</v>
      </c>
      <c r="D70" s="18" t="s">
        <v>71</v>
      </c>
      <c r="E70" s="18"/>
      <c r="F70" s="18"/>
      <c r="G70" s="18" t="s">
        <v>955</v>
      </c>
      <c r="H70" s="18" t="s">
        <v>956</v>
      </c>
      <c r="I70" s="18" t="s">
        <v>957</v>
      </c>
      <c r="J70" s="18" t="s">
        <v>790</v>
      </c>
      <c r="K70" s="18" t="s">
        <v>824</v>
      </c>
      <c r="L70" s="18" t="s">
        <v>825</v>
      </c>
      <c r="M70" s="19">
        <v>0</v>
      </c>
      <c r="N70" s="19">
        <v>65</v>
      </c>
      <c r="O70" s="19">
        <v>0</v>
      </c>
      <c r="P70" s="20">
        <v>65</v>
      </c>
      <c r="Q70" s="19">
        <v>0</v>
      </c>
      <c r="R70" s="19">
        <v>0</v>
      </c>
      <c r="S70" s="19">
        <v>0</v>
      </c>
      <c r="T70" s="19">
        <v>0</v>
      </c>
      <c r="U70" s="18" t="s">
        <v>796</v>
      </c>
      <c r="V70" s="21" t="s">
        <v>796</v>
      </c>
    </row>
    <row r="71" spans="1:22" ht="18.75">
      <c r="A71" s="17" t="s">
        <v>196</v>
      </c>
      <c r="B71" s="18" t="s">
        <v>197</v>
      </c>
      <c r="C71" s="18" t="s">
        <v>70</v>
      </c>
      <c r="D71" s="18" t="s">
        <v>71</v>
      </c>
      <c r="E71" s="18"/>
      <c r="F71" s="18"/>
      <c r="G71" s="18" t="s">
        <v>958</v>
      </c>
      <c r="H71" s="18" t="s">
        <v>959</v>
      </c>
      <c r="I71" s="18" t="s">
        <v>960</v>
      </c>
      <c r="J71" s="18" t="s">
        <v>790</v>
      </c>
      <c r="K71" s="18" t="s">
        <v>961</v>
      </c>
      <c r="L71" s="18" t="s">
        <v>962</v>
      </c>
      <c r="M71" s="19">
        <v>0</v>
      </c>
      <c r="N71" s="19">
        <v>16</v>
      </c>
      <c r="O71" s="19">
        <v>0</v>
      </c>
      <c r="P71" s="20">
        <v>16</v>
      </c>
      <c r="Q71" s="19">
        <v>0</v>
      </c>
      <c r="R71" s="19">
        <v>0</v>
      </c>
      <c r="S71" s="19">
        <v>0</v>
      </c>
      <c r="T71" s="19">
        <v>0</v>
      </c>
      <c r="U71" s="18" t="s">
        <v>864</v>
      </c>
      <c r="V71" s="21" t="s">
        <v>816</v>
      </c>
    </row>
    <row r="72" spans="1:22" ht="18.75">
      <c r="A72" s="17" t="s">
        <v>196</v>
      </c>
      <c r="B72" s="18" t="s">
        <v>197</v>
      </c>
      <c r="C72" s="18" t="s">
        <v>70</v>
      </c>
      <c r="D72" s="18" t="s">
        <v>71</v>
      </c>
      <c r="E72" s="18"/>
      <c r="F72" s="18"/>
      <c r="G72" s="18" t="s">
        <v>963</v>
      </c>
      <c r="H72" s="18" t="s">
        <v>964</v>
      </c>
      <c r="I72" s="18" t="s">
        <v>965</v>
      </c>
      <c r="J72" s="18" t="s">
        <v>790</v>
      </c>
      <c r="K72" s="18" t="s">
        <v>824</v>
      </c>
      <c r="L72" s="18" t="s">
        <v>825</v>
      </c>
      <c r="M72" s="19">
        <v>0</v>
      </c>
      <c r="N72" s="19">
        <v>55</v>
      </c>
      <c r="O72" s="19">
        <v>27</v>
      </c>
      <c r="P72" s="20">
        <v>28</v>
      </c>
      <c r="Q72" s="19">
        <v>0</v>
      </c>
      <c r="R72" s="19">
        <v>0</v>
      </c>
      <c r="S72" s="19">
        <v>0</v>
      </c>
      <c r="T72" s="19">
        <v>0</v>
      </c>
      <c r="U72" s="18" t="s">
        <v>796</v>
      </c>
      <c r="V72" s="21" t="s">
        <v>796</v>
      </c>
    </row>
    <row r="73" spans="1:22" ht="18.75">
      <c r="A73" s="17" t="s">
        <v>196</v>
      </c>
      <c r="B73" s="18" t="s">
        <v>197</v>
      </c>
      <c r="C73" s="18" t="s">
        <v>70</v>
      </c>
      <c r="D73" s="18" t="s">
        <v>71</v>
      </c>
      <c r="E73" s="18"/>
      <c r="F73" s="18"/>
      <c r="G73" s="18" t="s">
        <v>963</v>
      </c>
      <c r="H73" s="18" t="s">
        <v>964</v>
      </c>
      <c r="I73" s="18" t="s">
        <v>965</v>
      </c>
      <c r="J73" s="18" t="s">
        <v>790</v>
      </c>
      <c r="K73" s="18" t="s">
        <v>828</v>
      </c>
      <c r="L73" s="18" t="s">
        <v>829</v>
      </c>
      <c r="M73" s="19">
        <v>0</v>
      </c>
      <c r="N73" s="19">
        <v>11</v>
      </c>
      <c r="O73" s="19">
        <v>4</v>
      </c>
      <c r="P73" s="20">
        <v>7</v>
      </c>
      <c r="Q73" s="19">
        <v>0</v>
      </c>
      <c r="R73" s="19">
        <v>0</v>
      </c>
      <c r="S73" s="19">
        <v>0</v>
      </c>
      <c r="T73" s="19">
        <v>0</v>
      </c>
      <c r="U73" s="18" t="s">
        <v>871</v>
      </c>
      <c r="V73" s="21" t="s">
        <v>796</v>
      </c>
    </row>
    <row r="74" spans="1:22" ht="18.75">
      <c r="A74" s="17" t="s">
        <v>196</v>
      </c>
      <c r="B74" s="18" t="s">
        <v>197</v>
      </c>
      <c r="C74" s="18" t="s">
        <v>70</v>
      </c>
      <c r="D74" s="18" t="s">
        <v>71</v>
      </c>
      <c r="E74" s="18"/>
      <c r="F74" s="18"/>
      <c r="G74" s="18" t="s">
        <v>963</v>
      </c>
      <c r="H74" s="18" t="s">
        <v>964</v>
      </c>
      <c r="I74" s="18" t="s">
        <v>965</v>
      </c>
      <c r="J74" s="18" t="s">
        <v>790</v>
      </c>
      <c r="K74" s="18" t="s">
        <v>966</v>
      </c>
      <c r="L74" s="18" t="s">
        <v>967</v>
      </c>
      <c r="M74" s="19">
        <v>0</v>
      </c>
      <c r="N74" s="19">
        <v>14</v>
      </c>
      <c r="O74" s="19">
        <v>0</v>
      </c>
      <c r="P74" s="20">
        <v>14</v>
      </c>
      <c r="Q74" s="19">
        <v>0</v>
      </c>
      <c r="R74" s="19">
        <v>0</v>
      </c>
      <c r="S74" s="19">
        <v>0</v>
      </c>
      <c r="T74" s="19">
        <v>0</v>
      </c>
      <c r="U74" s="18" t="s">
        <v>871</v>
      </c>
      <c r="V74" s="21" t="s">
        <v>796</v>
      </c>
    </row>
    <row r="75" spans="1:22" ht="18.75">
      <c r="A75" s="17" t="s">
        <v>200</v>
      </c>
      <c r="B75" s="18" t="s">
        <v>201</v>
      </c>
      <c r="C75" s="18" t="s">
        <v>70</v>
      </c>
      <c r="D75" s="18" t="s">
        <v>71</v>
      </c>
      <c r="E75" s="18"/>
      <c r="F75" s="18"/>
      <c r="G75" s="18" t="s">
        <v>968</v>
      </c>
      <c r="H75" s="18" t="s">
        <v>969</v>
      </c>
      <c r="I75" s="18" t="s">
        <v>970</v>
      </c>
      <c r="J75" s="18" t="s">
        <v>790</v>
      </c>
      <c r="K75" s="18" t="s">
        <v>824</v>
      </c>
      <c r="L75" s="18" t="s">
        <v>825</v>
      </c>
      <c r="M75" s="19">
        <v>0</v>
      </c>
      <c r="N75" s="19">
        <v>8</v>
      </c>
      <c r="O75" s="19">
        <v>7</v>
      </c>
      <c r="P75" s="20">
        <v>1</v>
      </c>
      <c r="Q75" s="19">
        <v>0</v>
      </c>
      <c r="R75" s="19">
        <v>0</v>
      </c>
      <c r="S75" s="19">
        <v>0</v>
      </c>
      <c r="T75" s="19">
        <v>0</v>
      </c>
      <c r="U75" s="18" t="s">
        <v>796</v>
      </c>
      <c r="V75" s="21" t="s">
        <v>884</v>
      </c>
    </row>
    <row r="76" spans="1:22" ht="18.75">
      <c r="A76" s="17" t="s">
        <v>200</v>
      </c>
      <c r="B76" s="18" t="s">
        <v>201</v>
      </c>
      <c r="C76" s="18" t="s">
        <v>70</v>
      </c>
      <c r="D76" s="18" t="s">
        <v>71</v>
      </c>
      <c r="E76" s="18"/>
      <c r="F76" s="18"/>
      <c r="G76" s="18" t="s">
        <v>971</v>
      </c>
      <c r="H76" s="18" t="s">
        <v>972</v>
      </c>
      <c r="I76" s="18" t="s">
        <v>850</v>
      </c>
      <c r="J76" s="18" t="s">
        <v>790</v>
      </c>
      <c r="K76" s="18" t="s">
        <v>824</v>
      </c>
      <c r="L76" s="18" t="s">
        <v>825</v>
      </c>
      <c r="M76" s="19">
        <v>0</v>
      </c>
      <c r="N76" s="19">
        <v>3</v>
      </c>
      <c r="O76" s="19">
        <v>0</v>
      </c>
      <c r="P76" s="20">
        <v>3</v>
      </c>
      <c r="Q76" s="19">
        <v>0</v>
      </c>
      <c r="R76" s="19">
        <v>0</v>
      </c>
      <c r="S76" s="19">
        <v>0</v>
      </c>
      <c r="T76" s="19">
        <v>0</v>
      </c>
      <c r="U76" s="18" t="s">
        <v>796</v>
      </c>
      <c r="V76" s="21" t="s">
        <v>902</v>
      </c>
    </row>
    <row r="77" spans="1:22" ht="18.75">
      <c r="A77" s="17" t="s">
        <v>200</v>
      </c>
      <c r="B77" s="18" t="s">
        <v>201</v>
      </c>
      <c r="C77" s="18" t="s">
        <v>70</v>
      </c>
      <c r="D77" s="18" t="s">
        <v>71</v>
      </c>
      <c r="E77" s="18"/>
      <c r="F77" s="18"/>
      <c r="G77" s="18" t="s">
        <v>971</v>
      </c>
      <c r="H77" s="18" t="s">
        <v>972</v>
      </c>
      <c r="I77" s="18" t="s">
        <v>850</v>
      </c>
      <c r="J77" s="18" t="s">
        <v>790</v>
      </c>
      <c r="K77" s="18" t="s">
        <v>828</v>
      </c>
      <c r="L77" s="18" t="s">
        <v>829</v>
      </c>
      <c r="M77" s="19">
        <v>0</v>
      </c>
      <c r="N77" s="19">
        <v>24</v>
      </c>
      <c r="O77" s="19">
        <v>21</v>
      </c>
      <c r="P77" s="20">
        <v>3</v>
      </c>
      <c r="Q77" s="19">
        <v>0</v>
      </c>
      <c r="R77" s="19">
        <v>0</v>
      </c>
      <c r="S77" s="19">
        <v>0</v>
      </c>
      <c r="T77" s="19">
        <v>0</v>
      </c>
      <c r="U77" s="18" t="s">
        <v>871</v>
      </c>
      <c r="V77" s="21" t="s">
        <v>902</v>
      </c>
    </row>
    <row r="78" spans="1:22" ht="18.75">
      <c r="A78" s="17" t="s">
        <v>200</v>
      </c>
      <c r="B78" s="18" t="s">
        <v>201</v>
      </c>
      <c r="C78" s="18" t="s">
        <v>70</v>
      </c>
      <c r="D78" s="18" t="s">
        <v>71</v>
      </c>
      <c r="E78" s="18"/>
      <c r="F78" s="18"/>
      <c r="G78" s="18" t="s">
        <v>973</v>
      </c>
      <c r="H78" s="18" t="s">
        <v>974</v>
      </c>
      <c r="I78" s="18" t="s">
        <v>925</v>
      </c>
      <c r="J78" s="18" t="s">
        <v>790</v>
      </c>
      <c r="K78" s="18" t="s">
        <v>824</v>
      </c>
      <c r="L78" s="18" t="s">
        <v>825</v>
      </c>
      <c r="M78" s="19">
        <v>0</v>
      </c>
      <c r="N78" s="19">
        <v>25</v>
      </c>
      <c r="O78" s="19">
        <v>15</v>
      </c>
      <c r="P78" s="20">
        <v>10</v>
      </c>
      <c r="Q78" s="19">
        <v>0</v>
      </c>
      <c r="R78" s="19">
        <v>0</v>
      </c>
      <c r="S78" s="19">
        <v>0</v>
      </c>
      <c r="T78" s="19">
        <v>0</v>
      </c>
      <c r="U78" s="18" t="s">
        <v>796</v>
      </c>
      <c r="V78" s="21" t="s">
        <v>796</v>
      </c>
    </row>
    <row r="79" spans="1:22" ht="18.75">
      <c r="A79" s="17" t="s">
        <v>200</v>
      </c>
      <c r="B79" s="18" t="s">
        <v>201</v>
      </c>
      <c r="C79" s="18" t="s">
        <v>70</v>
      </c>
      <c r="D79" s="18" t="s">
        <v>71</v>
      </c>
      <c r="E79" s="18"/>
      <c r="F79" s="18"/>
      <c r="G79" s="18" t="s">
        <v>973</v>
      </c>
      <c r="H79" s="18" t="s">
        <v>974</v>
      </c>
      <c r="I79" s="18" t="s">
        <v>925</v>
      </c>
      <c r="J79" s="18" t="s">
        <v>790</v>
      </c>
      <c r="K79" s="18" t="s">
        <v>828</v>
      </c>
      <c r="L79" s="18" t="s">
        <v>829</v>
      </c>
      <c r="M79" s="19">
        <v>0</v>
      </c>
      <c r="N79" s="19">
        <v>10</v>
      </c>
      <c r="O79" s="19">
        <v>0</v>
      </c>
      <c r="P79" s="20">
        <v>10</v>
      </c>
      <c r="Q79" s="19">
        <v>0</v>
      </c>
      <c r="R79" s="19">
        <v>0</v>
      </c>
      <c r="S79" s="19">
        <v>0</v>
      </c>
      <c r="T79" s="19">
        <v>0</v>
      </c>
      <c r="U79" s="18" t="s">
        <v>871</v>
      </c>
      <c r="V79" s="21" t="s">
        <v>796</v>
      </c>
    </row>
    <row r="80" spans="1:22" ht="18.75">
      <c r="A80" s="17" t="s">
        <v>200</v>
      </c>
      <c r="B80" s="18" t="s">
        <v>201</v>
      </c>
      <c r="C80" s="18" t="s">
        <v>70</v>
      </c>
      <c r="D80" s="18" t="s">
        <v>71</v>
      </c>
      <c r="E80" s="18"/>
      <c r="F80" s="18"/>
      <c r="G80" s="18" t="s">
        <v>973</v>
      </c>
      <c r="H80" s="18" t="s">
        <v>974</v>
      </c>
      <c r="I80" s="18" t="s">
        <v>925</v>
      </c>
      <c r="J80" s="18" t="s">
        <v>790</v>
      </c>
      <c r="K80" s="18" t="s">
        <v>843</v>
      </c>
      <c r="L80" s="18" t="s">
        <v>844</v>
      </c>
      <c r="M80" s="19">
        <v>0</v>
      </c>
      <c r="N80" s="19">
        <v>5</v>
      </c>
      <c r="O80" s="19">
        <v>3</v>
      </c>
      <c r="P80" s="20">
        <v>2</v>
      </c>
      <c r="Q80" s="19">
        <v>0</v>
      </c>
      <c r="R80" s="19">
        <v>0</v>
      </c>
      <c r="S80" s="19">
        <v>0</v>
      </c>
      <c r="T80" s="19">
        <v>0</v>
      </c>
      <c r="U80" s="18" t="s">
        <v>871</v>
      </c>
      <c r="V80" s="21" t="s">
        <v>796</v>
      </c>
    </row>
    <row r="81" spans="1:22" ht="18.75">
      <c r="A81" s="17" t="s">
        <v>233</v>
      </c>
      <c r="B81" s="18" t="s">
        <v>234</v>
      </c>
      <c r="C81" s="18" t="s">
        <v>70</v>
      </c>
      <c r="D81" s="18" t="s">
        <v>71</v>
      </c>
      <c r="E81" s="18"/>
      <c r="F81" s="18"/>
      <c r="G81" s="18" t="s">
        <v>975</v>
      </c>
      <c r="H81" s="18" t="s">
        <v>976</v>
      </c>
      <c r="I81" s="18" t="s">
        <v>887</v>
      </c>
      <c r="J81" s="18" t="s">
        <v>790</v>
      </c>
      <c r="K81" s="18" t="s">
        <v>977</v>
      </c>
      <c r="L81" s="18" t="s">
        <v>978</v>
      </c>
      <c r="M81" s="19">
        <v>0</v>
      </c>
      <c r="N81" s="19">
        <v>1</v>
      </c>
      <c r="O81" s="19">
        <v>0</v>
      </c>
      <c r="P81" s="20">
        <v>1</v>
      </c>
      <c r="Q81" s="19">
        <v>0</v>
      </c>
      <c r="R81" s="19">
        <v>0</v>
      </c>
      <c r="S81" s="19">
        <v>0</v>
      </c>
      <c r="T81" s="19">
        <v>0</v>
      </c>
      <c r="U81" s="18" t="s">
        <v>796</v>
      </c>
      <c r="V81" s="21" t="s">
        <v>979</v>
      </c>
    </row>
    <row r="82" spans="1:22" ht="18.75">
      <c r="A82" s="17" t="s">
        <v>237</v>
      </c>
      <c r="B82" s="18" t="s">
        <v>238</v>
      </c>
      <c r="C82" s="18" t="s">
        <v>70</v>
      </c>
      <c r="D82" s="18" t="s">
        <v>71</v>
      </c>
      <c r="E82" s="18"/>
      <c r="F82" s="18"/>
      <c r="G82" s="18" t="s">
        <v>980</v>
      </c>
      <c r="H82" s="18" t="s">
        <v>806</v>
      </c>
      <c r="I82" s="18"/>
      <c r="J82" s="18" t="s">
        <v>790</v>
      </c>
      <c r="K82" s="18" t="s">
        <v>981</v>
      </c>
      <c r="L82" s="18" t="s">
        <v>982</v>
      </c>
      <c r="M82" s="19">
        <v>0</v>
      </c>
      <c r="N82" s="19">
        <v>4</v>
      </c>
      <c r="O82" s="19">
        <v>0</v>
      </c>
      <c r="P82" s="20">
        <v>4</v>
      </c>
      <c r="Q82" s="19">
        <v>0</v>
      </c>
      <c r="R82" s="19">
        <v>0</v>
      </c>
      <c r="S82" s="19">
        <v>0</v>
      </c>
      <c r="T82" s="19">
        <v>0</v>
      </c>
      <c r="U82" s="18" t="s">
        <v>983</v>
      </c>
      <c r="V82" s="21" t="s">
        <v>984</v>
      </c>
    </row>
    <row r="83" spans="1:22" ht="18.75">
      <c r="A83" s="17" t="s">
        <v>237</v>
      </c>
      <c r="B83" s="18" t="s">
        <v>238</v>
      </c>
      <c r="C83" s="18" t="s">
        <v>70</v>
      </c>
      <c r="D83" s="18" t="s">
        <v>71</v>
      </c>
      <c r="E83" s="18"/>
      <c r="F83" s="18"/>
      <c r="G83" s="18" t="s">
        <v>985</v>
      </c>
      <c r="H83" s="18" t="s">
        <v>986</v>
      </c>
      <c r="I83" s="18"/>
      <c r="J83" s="18" t="s">
        <v>790</v>
      </c>
      <c r="K83" s="18" t="s">
        <v>981</v>
      </c>
      <c r="L83" s="18" t="s">
        <v>982</v>
      </c>
      <c r="M83" s="19">
        <v>0</v>
      </c>
      <c r="N83" s="19">
        <v>4</v>
      </c>
      <c r="O83" s="19">
        <v>0</v>
      </c>
      <c r="P83" s="20">
        <v>4</v>
      </c>
      <c r="Q83" s="19">
        <v>0</v>
      </c>
      <c r="R83" s="19">
        <v>0</v>
      </c>
      <c r="S83" s="19">
        <v>0</v>
      </c>
      <c r="T83" s="19">
        <v>0</v>
      </c>
      <c r="U83" s="18" t="s">
        <v>983</v>
      </c>
      <c r="V83" s="21" t="s">
        <v>987</v>
      </c>
    </row>
    <row r="84" spans="1:22" ht="18.75">
      <c r="A84" s="17" t="s">
        <v>237</v>
      </c>
      <c r="B84" s="18" t="s">
        <v>238</v>
      </c>
      <c r="C84" s="18" t="s">
        <v>70</v>
      </c>
      <c r="D84" s="18" t="s">
        <v>71</v>
      </c>
      <c r="E84" s="18"/>
      <c r="F84" s="18"/>
      <c r="G84" s="18" t="s">
        <v>963</v>
      </c>
      <c r="H84" s="18" t="s">
        <v>964</v>
      </c>
      <c r="I84" s="18" t="s">
        <v>965</v>
      </c>
      <c r="J84" s="18" t="s">
        <v>790</v>
      </c>
      <c r="K84" s="18" t="s">
        <v>977</v>
      </c>
      <c r="L84" s="18" t="s">
        <v>978</v>
      </c>
      <c r="M84" s="19">
        <v>0</v>
      </c>
      <c r="N84" s="19">
        <v>1</v>
      </c>
      <c r="O84" s="19">
        <v>0</v>
      </c>
      <c r="P84" s="20">
        <v>1</v>
      </c>
      <c r="Q84" s="19">
        <v>0</v>
      </c>
      <c r="R84" s="19">
        <v>0</v>
      </c>
      <c r="S84" s="19">
        <v>0</v>
      </c>
      <c r="T84" s="19">
        <v>0</v>
      </c>
      <c r="U84" s="18" t="s">
        <v>796</v>
      </c>
      <c r="V84" s="21" t="s">
        <v>796</v>
      </c>
    </row>
    <row r="85" spans="1:22" ht="18.75">
      <c r="A85" s="17" t="s">
        <v>242</v>
      </c>
      <c r="B85" s="18" t="s">
        <v>243</v>
      </c>
      <c r="C85" s="18" t="s">
        <v>70</v>
      </c>
      <c r="D85" s="18" t="s">
        <v>71</v>
      </c>
      <c r="E85" s="18"/>
      <c r="F85" s="18"/>
      <c r="G85" s="18" t="s">
        <v>988</v>
      </c>
      <c r="H85" s="18" t="s">
        <v>989</v>
      </c>
      <c r="I85" s="18" t="s">
        <v>990</v>
      </c>
      <c r="J85" s="18" t="s">
        <v>790</v>
      </c>
      <c r="K85" s="18" t="s">
        <v>824</v>
      </c>
      <c r="L85" s="18" t="s">
        <v>825</v>
      </c>
      <c r="M85" s="19">
        <v>0</v>
      </c>
      <c r="N85" s="19">
        <v>5</v>
      </c>
      <c r="O85" s="19">
        <v>3</v>
      </c>
      <c r="P85" s="20">
        <v>2</v>
      </c>
      <c r="Q85" s="19">
        <v>0</v>
      </c>
      <c r="R85" s="19">
        <v>0</v>
      </c>
      <c r="S85" s="19">
        <v>0</v>
      </c>
      <c r="T85" s="19">
        <v>0</v>
      </c>
      <c r="U85" s="18" t="s">
        <v>796</v>
      </c>
      <c r="V85" s="21" t="s">
        <v>816</v>
      </c>
    </row>
    <row r="86" spans="1:22" ht="18.75">
      <c r="A86" s="17" t="s">
        <v>242</v>
      </c>
      <c r="B86" s="18" t="s">
        <v>243</v>
      </c>
      <c r="C86" s="18" t="s">
        <v>70</v>
      </c>
      <c r="D86" s="18" t="s">
        <v>71</v>
      </c>
      <c r="E86" s="18"/>
      <c r="F86" s="18"/>
      <c r="G86" s="18" t="s">
        <v>991</v>
      </c>
      <c r="H86" s="18" t="s">
        <v>992</v>
      </c>
      <c r="I86" s="18" t="s">
        <v>901</v>
      </c>
      <c r="J86" s="18" t="s">
        <v>790</v>
      </c>
      <c r="K86" s="18" t="s">
        <v>828</v>
      </c>
      <c r="L86" s="18" t="s">
        <v>829</v>
      </c>
      <c r="M86" s="19">
        <v>0</v>
      </c>
      <c r="N86" s="19">
        <v>42</v>
      </c>
      <c r="O86" s="19">
        <v>16</v>
      </c>
      <c r="P86" s="20">
        <v>26</v>
      </c>
      <c r="Q86" s="19">
        <v>0</v>
      </c>
      <c r="R86" s="19">
        <v>0</v>
      </c>
      <c r="S86" s="19">
        <v>0</v>
      </c>
      <c r="T86" s="19">
        <v>0</v>
      </c>
      <c r="U86" s="18" t="s">
        <v>789</v>
      </c>
      <c r="V86" s="21" t="s">
        <v>993</v>
      </c>
    </row>
    <row r="87" spans="1:22" ht="18.75">
      <c r="A87" s="17" t="s">
        <v>242</v>
      </c>
      <c r="B87" s="18" t="s">
        <v>243</v>
      </c>
      <c r="C87" s="18" t="s">
        <v>70</v>
      </c>
      <c r="D87" s="18" t="s">
        <v>71</v>
      </c>
      <c r="E87" s="18"/>
      <c r="F87" s="18"/>
      <c r="G87" s="18" t="s">
        <v>920</v>
      </c>
      <c r="H87" s="18" t="s">
        <v>921</v>
      </c>
      <c r="I87" s="18" t="s">
        <v>922</v>
      </c>
      <c r="J87" s="18" t="s">
        <v>790</v>
      </c>
      <c r="K87" s="18" t="s">
        <v>824</v>
      </c>
      <c r="L87" s="18" t="s">
        <v>825</v>
      </c>
      <c r="M87" s="19">
        <v>0</v>
      </c>
      <c r="N87" s="19">
        <v>40</v>
      </c>
      <c r="O87" s="19">
        <v>0</v>
      </c>
      <c r="P87" s="20">
        <v>40</v>
      </c>
      <c r="Q87" s="19">
        <v>0</v>
      </c>
      <c r="R87" s="19">
        <v>0</v>
      </c>
      <c r="S87" s="19">
        <v>0</v>
      </c>
      <c r="T87" s="19">
        <v>0</v>
      </c>
      <c r="U87" s="18" t="s">
        <v>796</v>
      </c>
      <c r="V87" s="21" t="s">
        <v>796</v>
      </c>
    </row>
    <row r="88" spans="1:22" ht="18.75">
      <c r="A88" s="17" t="s">
        <v>246</v>
      </c>
      <c r="B88" s="18" t="s">
        <v>247</v>
      </c>
      <c r="C88" s="18" t="s">
        <v>70</v>
      </c>
      <c r="D88" s="18" t="s">
        <v>71</v>
      </c>
      <c r="E88" s="18"/>
      <c r="F88" s="18"/>
      <c r="G88" s="18" t="s">
        <v>798</v>
      </c>
      <c r="H88" s="18" t="s">
        <v>799</v>
      </c>
      <c r="I88" s="18" t="s">
        <v>994</v>
      </c>
      <c r="J88" s="18" t="s">
        <v>790</v>
      </c>
      <c r="K88" s="18" t="s">
        <v>995</v>
      </c>
      <c r="L88" s="18" t="s">
        <v>996</v>
      </c>
      <c r="M88" s="19">
        <v>0</v>
      </c>
      <c r="N88" s="19">
        <v>7</v>
      </c>
      <c r="O88" s="19">
        <v>5</v>
      </c>
      <c r="P88" s="20">
        <v>2</v>
      </c>
      <c r="Q88" s="19">
        <v>0</v>
      </c>
      <c r="R88" s="19">
        <v>0</v>
      </c>
      <c r="S88" s="19">
        <v>0</v>
      </c>
      <c r="T88" s="19">
        <v>0</v>
      </c>
      <c r="U88" s="18" t="s">
        <v>997</v>
      </c>
      <c r="V88" s="21" t="s">
        <v>819</v>
      </c>
    </row>
    <row r="89" spans="1:22" ht="18.75">
      <c r="A89" s="17" t="s">
        <v>246</v>
      </c>
      <c r="B89" s="18" t="s">
        <v>247</v>
      </c>
      <c r="C89" s="18" t="s">
        <v>70</v>
      </c>
      <c r="D89" s="18" t="s">
        <v>71</v>
      </c>
      <c r="E89" s="18"/>
      <c r="F89" s="18"/>
      <c r="G89" s="18" t="s">
        <v>988</v>
      </c>
      <c r="H89" s="18" t="s">
        <v>989</v>
      </c>
      <c r="I89" s="18" t="s">
        <v>990</v>
      </c>
      <c r="J89" s="18" t="s">
        <v>790</v>
      </c>
      <c r="K89" s="18" t="s">
        <v>961</v>
      </c>
      <c r="L89" s="18" t="s">
        <v>962</v>
      </c>
      <c r="M89" s="19">
        <v>0</v>
      </c>
      <c r="N89" s="19">
        <v>2</v>
      </c>
      <c r="O89" s="19">
        <v>0</v>
      </c>
      <c r="P89" s="20">
        <v>2</v>
      </c>
      <c r="Q89" s="19">
        <v>0</v>
      </c>
      <c r="R89" s="19">
        <v>0</v>
      </c>
      <c r="S89" s="19">
        <v>0</v>
      </c>
      <c r="T89" s="19">
        <v>0</v>
      </c>
      <c r="U89" s="18" t="s">
        <v>864</v>
      </c>
      <c r="V89" s="21" t="s">
        <v>816</v>
      </c>
    </row>
    <row r="90" spans="1:22" ht="18.75">
      <c r="A90" s="17" t="s">
        <v>246</v>
      </c>
      <c r="B90" s="18" t="s">
        <v>247</v>
      </c>
      <c r="C90" s="18" t="s">
        <v>70</v>
      </c>
      <c r="D90" s="18" t="s">
        <v>71</v>
      </c>
      <c r="E90" s="18"/>
      <c r="F90" s="18"/>
      <c r="G90" s="18" t="s">
        <v>998</v>
      </c>
      <c r="H90" s="18" t="s">
        <v>999</v>
      </c>
      <c r="I90" s="18" t="s">
        <v>979</v>
      </c>
      <c r="J90" s="18" t="s">
        <v>790</v>
      </c>
      <c r="K90" s="18" t="s">
        <v>1000</v>
      </c>
      <c r="L90" s="18" t="s">
        <v>1001</v>
      </c>
      <c r="M90" s="19">
        <v>0</v>
      </c>
      <c r="N90" s="19">
        <v>2</v>
      </c>
      <c r="O90" s="19">
        <v>0</v>
      </c>
      <c r="P90" s="20">
        <v>2</v>
      </c>
      <c r="Q90" s="19">
        <v>0</v>
      </c>
      <c r="R90" s="19">
        <v>0</v>
      </c>
      <c r="S90" s="19">
        <v>0</v>
      </c>
      <c r="T90" s="19">
        <v>0</v>
      </c>
      <c r="U90" s="18" t="s">
        <v>918</v>
      </c>
      <c r="V90" s="21" t="s">
        <v>860</v>
      </c>
    </row>
    <row r="91" spans="1:22" ht="18.75">
      <c r="A91" s="17" t="s">
        <v>246</v>
      </c>
      <c r="B91" s="18" t="s">
        <v>247</v>
      </c>
      <c r="C91" s="18" t="s">
        <v>70</v>
      </c>
      <c r="D91" s="18" t="s">
        <v>71</v>
      </c>
      <c r="E91" s="18"/>
      <c r="F91" s="18"/>
      <c r="G91" s="18" t="s">
        <v>1002</v>
      </c>
      <c r="H91" s="18" t="s">
        <v>1003</v>
      </c>
      <c r="I91" s="18" t="s">
        <v>1004</v>
      </c>
      <c r="J91" s="18" t="s">
        <v>790</v>
      </c>
      <c r="K91" s="18" t="s">
        <v>1000</v>
      </c>
      <c r="L91" s="18" t="s">
        <v>1001</v>
      </c>
      <c r="M91" s="19">
        <v>0</v>
      </c>
      <c r="N91" s="19">
        <v>2</v>
      </c>
      <c r="O91" s="19">
        <v>0</v>
      </c>
      <c r="P91" s="20">
        <v>2</v>
      </c>
      <c r="Q91" s="19">
        <v>0</v>
      </c>
      <c r="R91" s="19">
        <v>0</v>
      </c>
      <c r="S91" s="19">
        <v>0</v>
      </c>
      <c r="T91" s="19">
        <v>0</v>
      </c>
      <c r="U91" s="18" t="s">
        <v>918</v>
      </c>
      <c r="V91" s="21" t="s">
        <v>902</v>
      </c>
    </row>
    <row r="92" spans="1:22" ht="18.75">
      <c r="A92" s="17" t="s">
        <v>246</v>
      </c>
      <c r="B92" s="18" t="s">
        <v>247</v>
      </c>
      <c r="C92" s="18" t="s">
        <v>70</v>
      </c>
      <c r="D92" s="18" t="s">
        <v>71</v>
      </c>
      <c r="E92" s="18"/>
      <c r="F92" s="18"/>
      <c r="G92" s="18" t="s">
        <v>1005</v>
      </c>
      <c r="H92" s="18" t="s">
        <v>1006</v>
      </c>
      <c r="I92" s="18" t="s">
        <v>1007</v>
      </c>
      <c r="J92" s="18" t="s">
        <v>790</v>
      </c>
      <c r="K92" s="18" t="s">
        <v>995</v>
      </c>
      <c r="L92" s="18" t="s">
        <v>996</v>
      </c>
      <c r="M92" s="19">
        <v>0</v>
      </c>
      <c r="N92" s="19">
        <v>3</v>
      </c>
      <c r="O92" s="19">
        <v>1</v>
      </c>
      <c r="P92" s="20">
        <v>2</v>
      </c>
      <c r="Q92" s="19">
        <v>0</v>
      </c>
      <c r="R92" s="19">
        <v>0</v>
      </c>
      <c r="S92" s="19">
        <v>0</v>
      </c>
      <c r="T92" s="19">
        <v>0</v>
      </c>
      <c r="U92" s="18" t="s">
        <v>997</v>
      </c>
      <c r="V92" s="21" t="s">
        <v>902</v>
      </c>
    </row>
    <row r="93" spans="1:22" ht="18.75">
      <c r="A93" s="17" t="s">
        <v>246</v>
      </c>
      <c r="B93" s="18" t="s">
        <v>247</v>
      </c>
      <c r="C93" s="18" t="s">
        <v>70</v>
      </c>
      <c r="D93" s="18" t="s">
        <v>71</v>
      </c>
      <c r="E93" s="18"/>
      <c r="F93" s="18"/>
      <c r="G93" s="18" t="s">
        <v>1008</v>
      </c>
      <c r="H93" s="18" t="s">
        <v>1009</v>
      </c>
      <c r="I93" s="18" t="s">
        <v>802</v>
      </c>
      <c r="J93" s="18" t="s">
        <v>790</v>
      </c>
      <c r="K93" s="18" t="s">
        <v>995</v>
      </c>
      <c r="L93" s="18" t="s">
        <v>996</v>
      </c>
      <c r="M93" s="19">
        <v>0</v>
      </c>
      <c r="N93" s="19">
        <v>5</v>
      </c>
      <c r="O93" s="19">
        <v>0</v>
      </c>
      <c r="P93" s="20">
        <v>5</v>
      </c>
      <c r="Q93" s="19">
        <v>0</v>
      </c>
      <c r="R93" s="19">
        <v>0</v>
      </c>
      <c r="S93" s="19">
        <v>0</v>
      </c>
      <c r="T93" s="19">
        <v>0</v>
      </c>
      <c r="U93" s="18" t="s">
        <v>997</v>
      </c>
      <c r="V93" s="21" t="s">
        <v>789</v>
      </c>
    </row>
    <row r="94" spans="1:22" ht="18.75">
      <c r="A94" s="17" t="s">
        <v>246</v>
      </c>
      <c r="B94" s="18" t="s">
        <v>247</v>
      </c>
      <c r="C94" s="18" t="s">
        <v>70</v>
      </c>
      <c r="D94" s="18" t="s">
        <v>71</v>
      </c>
      <c r="E94" s="18"/>
      <c r="F94" s="18"/>
      <c r="G94" s="18" t="s">
        <v>1008</v>
      </c>
      <c r="H94" s="18" t="s">
        <v>1009</v>
      </c>
      <c r="I94" s="18" t="s">
        <v>802</v>
      </c>
      <c r="J94" s="18" t="s">
        <v>790</v>
      </c>
      <c r="K94" s="18" t="s">
        <v>810</v>
      </c>
      <c r="L94" s="18" t="s">
        <v>811</v>
      </c>
      <c r="M94" s="19">
        <v>0</v>
      </c>
      <c r="N94" s="19">
        <v>1</v>
      </c>
      <c r="O94" s="19">
        <v>0</v>
      </c>
      <c r="P94" s="20">
        <v>1</v>
      </c>
      <c r="Q94" s="19">
        <v>0</v>
      </c>
      <c r="R94" s="19">
        <v>0</v>
      </c>
      <c r="S94" s="19">
        <v>0</v>
      </c>
      <c r="T94" s="19">
        <v>0</v>
      </c>
      <c r="U94" s="18" t="s">
        <v>997</v>
      </c>
      <c r="V94" s="21" t="s">
        <v>789</v>
      </c>
    </row>
    <row r="95" spans="1:22" ht="18.75">
      <c r="A95" s="17" t="s">
        <v>246</v>
      </c>
      <c r="B95" s="18" t="s">
        <v>247</v>
      </c>
      <c r="C95" s="18" t="s">
        <v>70</v>
      </c>
      <c r="D95" s="18" t="s">
        <v>71</v>
      </c>
      <c r="E95" s="18"/>
      <c r="F95" s="18"/>
      <c r="G95" s="18" t="s">
        <v>1008</v>
      </c>
      <c r="H95" s="18" t="s">
        <v>1009</v>
      </c>
      <c r="I95" s="18" t="s">
        <v>802</v>
      </c>
      <c r="J95" s="18" t="s">
        <v>790</v>
      </c>
      <c r="K95" s="18" t="s">
        <v>791</v>
      </c>
      <c r="L95" s="18" t="s">
        <v>792</v>
      </c>
      <c r="M95" s="19">
        <v>0</v>
      </c>
      <c r="N95" s="19">
        <v>1</v>
      </c>
      <c r="O95" s="19">
        <v>0</v>
      </c>
      <c r="P95" s="20">
        <v>1</v>
      </c>
      <c r="Q95" s="19">
        <v>0</v>
      </c>
      <c r="R95" s="19">
        <v>0</v>
      </c>
      <c r="S95" s="19">
        <v>0</v>
      </c>
      <c r="T95" s="19">
        <v>0</v>
      </c>
      <c r="U95" s="18" t="s">
        <v>796</v>
      </c>
      <c r="V95" s="21" t="s">
        <v>789</v>
      </c>
    </row>
    <row r="96" spans="1:22" ht="18.75">
      <c r="A96" s="17" t="s">
        <v>246</v>
      </c>
      <c r="B96" s="18" t="s">
        <v>247</v>
      </c>
      <c r="C96" s="18" t="s">
        <v>70</v>
      </c>
      <c r="D96" s="18" t="s">
        <v>71</v>
      </c>
      <c r="E96" s="18"/>
      <c r="F96" s="18"/>
      <c r="G96" s="18" t="s">
        <v>891</v>
      </c>
      <c r="H96" s="18" t="s">
        <v>892</v>
      </c>
      <c r="I96" s="18" t="s">
        <v>875</v>
      </c>
      <c r="J96" s="18" t="s">
        <v>790</v>
      </c>
      <c r="K96" s="18" t="s">
        <v>1000</v>
      </c>
      <c r="L96" s="18" t="s">
        <v>1001</v>
      </c>
      <c r="M96" s="19">
        <v>0</v>
      </c>
      <c r="N96" s="19">
        <v>1</v>
      </c>
      <c r="O96" s="19">
        <v>0</v>
      </c>
      <c r="P96" s="20">
        <v>1</v>
      </c>
      <c r="Q96" s="19">
        <v>0</v>
      </c>
      <c r="R96" s="19">
        <v>0</v>
      </c>
      <c r="S96" s="19">
        <v>0</v>
      </c>
      <c r="T96" s="19">
        <v>0</v>
      </c>
      <c r="U96" s="18" t="s">
        <v>918</v>
      </c>
      <c r="V96" s="21" t="s">
        <v>918</v>
      </c>
    </row>
    <row r="97" spans="1:22" ht="18.75">
      <c r="A97" s="17" t="s">
        <v>134</v>
      </c>
      <c r="B97" s="18" t="s">
        <v>135</v>
      </c>
      <c r="C97" s="18" t="s">
        <v>70</v>
      </c>
      <c r="D97" s="18" t="s">
        <v>71</v>
      </c>
      <c r="E97" s="18"/>
      <c r="F97" s="18"/>
      <c r="G97" s="18" t="s">
        <v>1010</v>
      </c>
      <c r="H97" s="18" t="s">
        <v>1011</v>
      </c>
      <c r="I97" s="18" t="s">
        <v>1012</v>
      </c>
      <c r="J97" s="18" t="s">
        <v>790</v>
      </c>
      <c r="K97" s="18" t="s">
        <v>995</v>
      </c>
      <c r="L97" s="18" t="s">
        <v>996</v>
      </c>
      <c r="M97" s="19">
        <v>0</v>
      </c>
      <c r="N97" s="19">
        <v>5</v>
      </c>
      <c r="O97" s="19">
        <v>1</v>
      </c>
      <c r="P97" s="20">
        <v>4</v>
      </c>
      <c r="Q97" s="19">
        <v>0</v>
      </c>
      <c r="R97" s="19">
        <v>0</v>
      </c>
      <c r="S97" s="19">
        <v>0</v>
      </c>
      <c r="T97" s="19">
        <v>0</v>
      </c>
      <c r="U97" s="18" t="s">
        <v>997</v>
      </c>
      <c r="V97" s="21" t="s">
        <v>796</v>
      </c>
    </row>
    <row r="98" spans="1:22" ht="18.75">
      <c r="A98" s="17" t="s">
        <v>256</v>
      </c>
      <c r="B98" s="18" t="s">
        <v>257</v>
      </c>
      <c r="C98" s="18" t="s">
        <v>70</v>
      </c>
      <c r="D98" s="18" t="s">
        <v>71</v>
      </c>
      <c r="E98" s="18"/>
      <c r="F98" s="18"/>
      <c r="G98" s="18" t="s">
        <v>1013</v>
      </c>
      <c r="H98" s="18" t="s">
        <v>1014</v>
      </c>
      <c r="I98" s="18" t="s">
        <v>1015</v>
      </c>
      <c r="J98" s="18" t="s">
        <v>790</v>
      </c>
      <c r="K98" s="18" t="s">
        <v>1000</v>
      </c>
      <c r="L98" s="18" t="s">
        <v>1001</v>
      </c>
      <c r="M98" s="19">
        <v>0</v>
      </c>
      <c r="N98" s="19">
        <v>12</v>
      </c>
      <c r="O98" s="19">
        <v>8</v>
      </c>
      <c r="P98" s="20">
        <v>4</v>
      </c>
      <c r="Q98" s="19">
        <v>0</v>
      </c>
      <c r="R98" s="19">
        <v>0</v>
      </c>
      <c r="S98" s="19">
        <v>0</v>
      </c>
      <c r="T98" s="19">
        <v>0</v>
      </c>
      <c r="U98" s="18" t="s">
        <v>918</v>
      </c>
      <c r="V98" s="21" t="s">
        <v>860</v>
      </c>
    </row>
    <row r="99" spans="1:22" ht="18.75">
      <c r="A99" s="17" t="s">
        <v>256</v>
      </c>
      <c r="B99" s="18" t="s">
        <v>257</v>
      </c>
      <c r="C99" s="18" t="s">
        <v>70</v>
      </c>
      <c r="D99" s="18" t="s">
        <v>71</v>
      </c>
      <c r="E99" s="18"/>
      <c r="F99" s="18"/>
      <c r="G99" s="18" t="s">
        <v>926</v>
      </c>
      <c r="H99" s="18" t="s">
        <v>927</v>
      </c>
      <c r="I99" s="18" t="s">
        <v>832</v>
      </c>
      <c r="J99" s="18" t="s">
        <v>790</v>
      </c>
      <c r="K99" s="18" t="s">
        <v>1000</v>
      </c>
      <c r="L99" s="18" t="s">
        <v>1001</v>
      </c>
      <c r="M99" s="19">
        <v>0</v>
      </c>
      <c r="N99" s="19">
        <v>10</v>
      </c>
      <c r="O99" s="19">
        <v>0</v>
      </c>
      <c r="P99" s="20">
        <v>10</v>
      </c>
      <c r="Q99" s="19">
        <v>0</v>
      </c>
      <c r="R99" s="19">
        <v>0</v>
      </c>
      <c r="S99" s="19">
        <v>0</v>
      </c>
      <c r="T99" s="19">
        <v>0</v>
      </c>
      <c r="U99" s="18" t="s">
        <v>918</v>
      </c>
      <c r="V99" s="21" t="s">
        <v>902</v>
      </c>
    </row>
    <row r="100" spans="1:22" ht="18.75">
      <c r="A100" s="17" t="s">
        <v>256</v>
      </c>
      <c r="B100" s="18" t="s">
        <v>257</v>
      </c>
      <c r="C100" s="18" t="s">
        <v>70</v>
      </c>
      <c r="D100" s="18" t="s">
        <v>71</v>
      </c>
      <c r="E100" s="18"/>
      <c r="F100" s="18"/>
      <c r="G100" s="18" t="s">
        <v>1016</v>
      </c>
      <c r="H100" s="18" t="s">
        <v>1017</v>
      </c>
      <c r="I100" s="18" t="s">
        <v>1018</v>
      </c>
      <c r="J100" s="18" t="s">
        <v>790</v>
      </c>
      <c r="K100" s="18" t="s">
        <v>1000</v>
      </c>
      <c r="L100" s="18" t="s">
        <v>1001</v>
      </c>
      <c r="M100" s="19">
        <v>0</v>
      </c>
      <c r="N100" s="19">
        <v>7</v>
      </c>
      <c r="O100" s="19">
        <v>0</v>
      </c>
      <c r="P100" s="20">
        <v>7</v>
      </c>
      <c r="Q100" s="19">
        <v>0</v>
      </c>
      <c r="R100" s="19">
        <v>0</v>
      </c>
      <c r="S100" s="19">
        <v>0</v>
      </c>
      <c r="T100" s="19">
        <v>0</v>
      </c>
      <c r="U100" s="18" t="s">
        <v>918</v>
      </c>
      <c r="V100" s="21" t="s">
        <v>918</v>
      </c>
    </row>
    <row r="101" spans="1:22" ht="18.75">
      <c r="A101" s="17" t="s">
        <v>306</v>
      </c>
      <c r="B101" s="18" t="s">
        <v>307</v>
      </c>
      <c r="C101" s="18" t="s">
        <v>70</v>
      </c>
      <c r="D101" s="18" t="s">
        <v>71</v>
      </c>
      <c r="E101" s="18"/>
      <c r="F101" s="18"/>
      <c r="G101" s="18" t="s">
        <v>1019</v>
      </c>
      <c r="H101" s="18" t="s">
        <v>1020</v>
      </c>
      <c r="I101" s="18" t="s">
        <v>940</v>
      </c>
      <c r="J101" s="18" t="s">
        <v>790</v>
      </c>
      <c r="K101" s="18" t="s">
        <v>1000</v>
      </c>
      <c r="L101" s="18" t="s">
        <v>1001</v>
      </c>
      <c r="M101" s="19">
        <v>0</v>
      </c>
      <c r="N101" s="19">
        <v>4</v>
      </c>
      <c r="O101" s="19">
        <v>1</v>
      </c>
      <c r="P101" s="20">
        <v>3</v>
      </c>
      <c r="Q101" s="19">
        <v>0</v>
      </c>
      <c r="R101" s="19">
        <v>0</v>
      </c>
      <c r="S101" s="19">
        <v>0</v>
      </c>
      <c r="T101" s="19">
        <v>0</v>
      </c>
      <c r="U101" s="18" t="s">
        <v>918</v>
      </c>
      <c r="V101" s="21" t="s">
        <v>902</v>
      </c>
    </row>
    <row r="102" spans="1:22" ht="18.75">
      <c r="A102" s="17" t="s">
        <v>306</v>
      </c>
      <c r="B102" s="18" t="s">
        <v>307</v>
      </c>
      <c r="C102" s="18" t="s">
        <v>70</v>
      </c>
      <c r="D102" s="18" t="s">
        <v>71</v>
      </c>
      <c r="E102" s="18"/>
      <c r="F102" s="18"/>
      <c r="G102" s="18" t="s">
        <v>1021</v>
      </c>
      <c r="H102" s="18" t="s">
        <v>1022</v>
      </c>
      <c r="I102" s="18" t="s">
        <v>1023</v>
      </c>
      <c r="J102" s="18" t="s">
        <v>790</v>
      </c>
      <c r="K102" s="18" t="s">
        <v>1000</v>
      </c>
      <c r="L102" s="18" t="s">
        <v>1001</v>
      </c>
      <c r="M102" s="19">
        <v>0</v>
      </c>
      <c r="N102" s="19">
        <v>2</v>
      </c>
      <c r="O102" s="19">
        <v>0</v>
      </c>
      <c r="P102" s="20">
        <v>2</v>
      </c>
      <c r="Q102" s="19">
        <v>0</v>
      </c>
      <c r="R102" s="19">
        <v>0</v>
      </c>
      <c r="S102" s="19">
        <v>0</v>
      </c>
      <c r="T102" s="19">
        <v>0</v>
      </c>
      <c r="U102" s="18" t="s">
        <v>918</v>
      </c>
      <c r="V102" s="21" t="s">
        <v>918</v>
      </c>
    </row>
    <row r="103" spans="1:22" ht="18.75">
      <c r="A103" s="17" t="s">
        <v>320</v>
      </c>
      <c r="B103" s="18" t="s">
        <v>321</v>
      </c>
      <c r="C103" s="18" t="s">
        <v>70</v>
      </c>
      <c r="D103" s="18" t="s">
        <v>71</v>
      </c>
      <c r="E103" s="18"/>
      <c r="F103" s="18"/>
      <c r="G103" s="18" t="s">
        <v>1024</v>
      </c>
      <c r="H103" s="18" t="s">
        <v>1025</v>
      </c>
      <c r="I103" s="18" t="s">
        <v>1026</v>
      </c>
      <c r="J103" s="18" t="s">
        <v>790</v>
      </c>
      <c r="K103" s="18" t="s">
        <v>995</v>
      </c>
      <c r="L103" s="18" t="s">
        <v>996</v>
      </c>
      <c r="M103" s="19">
        <v>0</v>
      </c>
      <c r="N103" s="19">
        <v>10</v>
      </c>
      <c r="O103" s="19">
        <v>8</v>
      </c>
      <c r="P103" s="20">
        <v>2</v>
      </c>
      <c r="Q103" s="19">
        <v>0</v>
      </c>
      <c r="R103" s="19">
        <v>0</v>
      </c>
      <c r="S103" s="19">
        <v>0</v>
      </c>
      <c r="T103" s="19">
        <v>0</v>
      </c>
      <c r="U103" s="18" t="s">
        <v>997</v>
      </c>
      <c r="V103" s="21" t="s">
        <v>816</v>
      </c>
    </row>
    <row r="104" spans="1:22" ht="18.75">
      <c r="A104" s="17" t="s">
        <v>320</v>
      </c>
      <c r="B104" s="18" t="s">
        <v>321</v>
      </c>
      <c r="C104" s="18" t="s">
        <v>70</v>
      </c>
      <c r="D104" s="18" t="s">
        <v>71</v>
      </c>
      <c r="E104" s="18"/>
      <c r="F104" s="18"/>
      <c r="G104" s="18" t="s">
        <v>1027</v>
      </c>
      <c r="H104" s="18" t="s">
        <v>1028</v>
      </c>
      <c r="I104" s="18" t="s">
        <v>884</v>
      </c>
      <c r="J104" s="18" t="s">
        <v>790</v>
      </c>
      <c r="K104" s="18" t="s">
        <v>995</v>
      </c>
      <c r="L104" s="18" t="s">
        <v>996</v>
      </c>
      <c r="M104" s="19">
        <v>0</v>
      </c>
      <c r="N104" s="19">
        <v>12</v>
      </c>
      <c r="O104" s="19">
        <v>1</v>
      </c>
      <c r="P104" s="20">
        <v>11</v>
      </c>
      <c r="Q104" s="19">
        <v>0</v>
      </c>
      <c r="R104" s="19">
        <v>0</v>
      </c>
      <c r="S104" s="19">
        <v>0</v>
      </c>
      <c r="T104" s="19">
        <v>0</v>
      </c>
      <c r="U104" s="18" t="s">
        <v>997</v>
      </c>
      <c r="V104" s="21" t="s">
        <v>902</v>
      </c>
    </row>
    <row r="105" spans="1:22" ht="18.75">
      <c r="A105" s="17" t="s">
        <v>320</v>
      </c>
      <c r="B105" s="18" t="s">
        <v>321</v>
      </c>
      <c r="C105" s="18" t="s">
        <v>70</v>
      </c>
      <c r="D105" s="18" t="s">
        <v>71</v>
      </c>
      <c r="E105" s="18"/>
      <c r="F105" s="18"/>
      <c r="G105" s="18" t="s">
        <v>1029</v>
      </c>
      <c r="H105" s="18" t="s">
        <v>1030</v>
      </c>
      <c r="I105" s="18" t="s">
        <v>1031</v>
      </c>
      <c r="J105" s="18" t="s">
        <v>790</v>
      </c>
      <c r="K105" s="18" t="s">
        <v>1000</v>
      </c>
      <c r="L105" s="18" t="s">
        <v>1001</v>
      </c>
      <c r="M105" s="19">
        <v>0</v>
      </c>
      <c r="N105" s="19">
        <v>1</v>
      </c>
      <c r="O105" s="19">
        <v>0</v>
      </c>
      <c r="P105" s="20">
        <v>1</v>
      </c>
      <c r="Q105" s="19">
        <v>0</v>
      </c>
      <c r="R105" s="19">
        <v>0</v>
      </c>
      <c r="S105" s="19">
        <v>0</v>
      </c>
      <c r="T105" s="19">
        <v>0</v>
      </c>
      <c r="U105" s="18" t="s">
        <v>871</v>
      </c>
      <c r="V105" s="21" t="s">
        <v>796</v>
      </c>
    </row>
    <row r="106" spans="1:22" ht="18.75">
      <c r="A106" s="17" t="s">
        <v>320</v>
      </c>
      <c r="B106" s="18" t="s">
        <v>321</v>
      </c>
      <c r="C106" s="18" t="s">
        <v>70</v>
      </c>
      <c r="D106" s="18" t="s">
        <v>71</v>
      </c>
      <c r="E106" s="18"/>
      <c r="F106" s="18"/>
      <c r="G106" s="18" t="s">
        <v>1032</v>
      </c>
      <c r="H106" s="18" t="s">
        <v>1033</v>
      </c>
      <c r="I106" s="18" t="s">
        <v>1034</v>
      </c>
      <c r="J106" s="18" t="s">
        <v>790</v>
      </c>
      <c r="K106" s="18" t="s">
        <v>995</v>
      </c>
      <c r="L106" s="18" t="s">
        <v>996</v>
      </c>
      <c r="M106" s="19">
        <v>0</v>
      </c>
      <c r="N106" s="19">
        <v>3</v>
      </c>
      <c r="O106" s="19">
        <v>0</v>
      </c>
      <c r="P106" s="20">
        <v>3</v>
      </c>
      <c r="Q106" s="19">
        <v>0</v>
      </c>
      <c r="R106" s="19">
        <v>0</v>
      </c>
      <c r="S106" s="19">
        <v>0</v>
      </c>
      <c r="T106" s="19">
        <v>0</v>
      </c>
      <c r="U106" s="18" t="s">
        <v>997</v>
      </c>
      <c r="V106" s="21" t="s">
        <v>796</v>
      </c>
    </row>
    <row r="107" spans="1:22" ht="18.75">
      <c r="A107" s="17" t="s">
        <v>320</v>
      </c>
      <c r="B107" s="18" t="s">
        <v>321</v>
      </c>
      <c r="C107" s="18" t="s">
        <v>70</v>
      </c>
      <c r="D107" s="18" t="s">
        <v>71</v>
      </c>
      <c r="E107" s="18"/>
      <c r="F107" s="18"/>
      <c r="G107" s="18" t="s">
        <v>1032</v>
      </c>
      <c r="H107" s="18" t="s">
        <v>1033</v>
      </c>
      <c r="I107" s="18" t="s">
        <v>1034</v>
      </c>
      <c r="J107" s="18" t="s">
        <v>790</v>
      </c>
      <c r="K107" s="18" t="s">
        <v>977</v>
      </c>
      <c r="L107" s="18" t="s">
        <v>978</v>
      </c>
      <c r="M107" s="19">
        <v>0</v>
      </c>
      <c r="N107" s="19">
        <v>9</v>
      </c>
      <c r="O107" s="19">
        <v>7</v>
      </c>
      <c r="P107" s="20">
        <v>2</v>
      </c>
      <c r="Q107" s="19">
        <v>0</v>
      </c>
      <c r="R107" s="19">
        <v>0</v>
      </c>
      <c r="S107" s="19">
        <v>0</v>
      </c>
      <c r="T107" s="19">
        <v>0</v>
      </c>
      <c r="U107" s="18" t="s">
        <v>796</v>
      </c>
      <c r="V107" s="21" t="s">
        <v>796</v>
      </c>
    </row>
    <row r="108" spans="1:22" ht="18.75">
      <c r="A108" s="17" t="s">
        <v>320</v>
      </c>
      <c r="B108" s="18" t="s">
        <v>321</v>
      </c>
      <c r="C108" s="18" t="s">
        <v>70</v>
      </c>
      <c r="D108" s="18" t="s">
        <v>71</v>
      </c>
      <c r="E108" s="18"/>
      <c r="F108" s="18"/>
      <c r="G108" s="18" t="s">
        <v>1032</v>
      </c>
      <c r="H108" s="18" t="s">
        <v>1033</v>
      </c>
      <c r="I108" s="18" t="s">
        <v>1034</v>
      </c>
      <c r="J108" s="18" t="s">
        <v>790</v>
      </c>
      <c r="K108" s="18" t="s">
        <v>1000</v>
      </c>
      <c r="L108" s="18" t="s">
        <v>1001</v>
      </c>
      <c r="M108" s="19">
        <v>0</v>
      </c>
      <c r="N108" s="19">
        <v>2</v>
      </c>
      <c r="O108" s="19">
        <v>0</v>
      </c>
      <c r="P108" s="20">
        <v>2</v>
      </c>
      <c r="Q108" s="19">
        <v>0</v>
      </c>
      <c r="R108" s="19">
        <v>0</v>
      </c>
      <c r="S108" s="19">
        <v>0</v>
      </c>
      <c r="T108" s="19">
        <v>0</v>
      </c>
      <c r="U108" s="18" t="s">
        <v>871</v>
      </c>
      <c r="V108" s="21" t="s">
        <v>796</v>
      </c>
    </row>
    <row r="109" spans="1:22" ht="18.75">
      <c r="A109" s="17" t="s">
        <v>320</v>
      </c>
      <c r="B109" s="18" t="s">
        <v>321</v>
      </c>
      <c r="C109" s="18" t="s">
        <v>70</v>
      </c>
      <c r="D109" s="18" t="s">
        <v>71</v>
      </c>
      <c r="E109" s="18"/>
      <c r="F109" s="18"/>
      <c r="G109" s="18" t="s">
        <v>1032</v>
      </c>
      <c r="H109" s="18" t="s">
        <v>1033</v>
      </c>
      <c r="I109" s="18" t="s">
        <v>1034</v>
      </c>
      <c r="J109" s="18" t="s">
        <v>790</v>
      </c>
      <c r="K109" s="18" t="s">
        <v>791</v>
      </c>
      <c r="L109" s="18" t="s">
        <v>792</v>
      </c>
      <c r="M109" s="19">
        <v>0</v>
      </c>
      <c r="N109" s="19">
        <v>1</v>
      </c>
      <c r="O109" s="19">
        <v>0</v>
      </c>
      <c r="P109" s="20">
        <v>1</v>
      </c>
      <c r="Q109" s="19">
        <v>0</v>
      </c>
      <c r="R109" s="19">
        <v>0</v>
      </c>
      <c r="S109" s="19">
        <v>0</v>
      </c>
      <c r="T109" s="19">
        <v>0</v>
      </c>
      <c r="U109" s="18" t="s">
        <v>796</v>
      </c>
      <c r="V109" s="21" t="s">
        <v>796</v>
      </c>
    </row>
    <row r="110" spans="1:22" ht="18.75">
      <c r="A110" s="17" t="s">
        <v>322</v>
      </c>
      <c r="B110" s="18" t="s">
        <v>323</v>
      </c>
      <c r="C110" s="18" t="s">
        <v>70</v>
      </c>
      <c r="D110" s="18" t="s">
        <v>71</v>
      </c>
      <c r="E110" s="18"/>
      <c r="F110" s="18"/>
      <c r="G110" s="18" t="s">
        <v>1035</v>
      </c>
      <c r="H110" s="18" t="s">
        <v>887</v>
      </c>
      <c r="I110" s="18"/>
      <c r="J110" s="18" t="s">
        <v>790</v>
      </c>
      <c r="K110" s="18" t="s">
        <v>981</v>
      </c>
      <c r="L110" s="18" t="s">
        <v>982</v>
      </c>
      <c r="M110" s="19">
        <v>0</v>
      </c>
      <c r="N110" s="22">
        <v>16.859000000000002</v>
      </c>
      <c r="O110" s="22">
        <v>15.379</v>
      </c>
      <c r="P110" s="23">
        <v>1.48</v>
      </c>
      <c r="Q110" s="19">
        <v>0</v>
      </c>
      <c r="R110" s="19">
        <v>0</v>
      </c>
      <c r="S110" s="19">
        <v>0</v>
      </c>
      <c r="T110" s="19">
        <v>0</v>
      </c>
      <c r="U110" s="18" t="s">
        <v>874</v>
      </c>
      <c r="V110" s="21" t="s">
        <v>987</v>
      </c>
    </row>
    <row r="111" spans="1:22" ht="18.75">
      <c r="A111" s="17" t="s">
        <v>322</v>
      </c>
      <c r="B111" s="18" t="s">
        <v>323</v>
      </c>
      <c r="C111" s="18" t="s">
        <v>70</v>
      </c>
      <c r="D111" s="18" t="s">
        <v>71</v>
      </c>
      <c r="E111" s="18"/>
      <c r="F111" s="18"/>
      <c r="G111" s="18" t="s">
        <v>1036</v>
      </c>
      <c r="H111" s="18" t="s">
        <v>1037</v>
      </c>
      <c r="I111" s="18" t="s">
        <v>1038</v>
      </c>
      <c r="J111" s="18" t="s">
        <v>790</v>
      </c>
      <c r="K111" s="18" t="s">
        <v>995</v>
      </c>
      <c r="L111" s="18" t="s">
        <v>996</v>
      </c>
      <c r="M111" s="19">
        <v>0</v>
      </c>
      <c r="N111" s="19">
        <v>15</v>
      </c>
      <c r="O111" s="19">
        <v>8</v>
      </c>
      <c r="P111" s="20">
        <v>7</v>
      </c>
      <c r="Q111" s="19">
        <v>0</v>
      </c>
      <c r="R111" s="19">
        <v>0</v>
      </c>
      <c r="S111" s="19">
        <v>0</v>
      </c>
      <c r="T111" s="19">
        <v>0</v>
      </c>
      <c r="U111" s="18" t="s">
        <v>997</v>
      </c>
      <c r="V111" s="21" t="s">
        <v>902</v>
      </c>
    </row>
    <row r="112" spans="1:22" ht="18.75">
      <c r="A112" s="17" t="s">
        <v>322</v>
      </c>
      <c r="B112" s="18" t="s">
        <v>323</v>
      </c>
      <c r="C112" s="18" t="s">
        <v>70</v>
      </c>
      <c r="D112" s="18" t="s">
        <v>71</v>
      </c>
      <c r="E112" s="18"/>
      <c r="F112" s="18"/>
      <c r="G112" s="18" t="s">
        <v>1036</v>
      </c>
      <c r="H112" s="18" t="s">
        <v>1037</v>
      </c>
      <c r="I112" s="18" t="s">
        <v>1038</v>
      </c>
      <c r="J112" s="18" t="s">
        <v>790</v>
      </c>
      <c r="K112" s="18" t="s">
        <v>981</v>
      </c>
      <c r="L112" s="18" t="s">
        <v>982</v>
      </c>
      <c r="M112" s="19">
        <v>0</v>
      </c>
      <c r="N112" s="19">
        <v>8</v>
      </c>
      <c r="O112" s="22">
        <v>3.5070000000000001</v>
      </c>
      <c r="P112" s="24">
        <v>4.4930000000000003</v>
      </c>
      <c r="Q112" s="19">
        <v>0</v>
      </c>
      <c r="R112" s="19">
        <v>0</v>
      </c>
      <c r="S112" s="19">
        <v>0</v>
      </c>
      <c r="T112" s="19">
        <v>0</v>
      </c>
      <c r="U112" s="18" t="s">
        <v>874</v>
      </c>
      <c r="V112" s="21" t="s">
        <v>902</v>
      </c>
    </row>
    <row r="113" spans="1:22" ht="18.75">
      <c r="A113" s="17" t="s">
        <v>322</v>
      </c>
      <c r="B113" s="18" t="s">
        <v>323</v>
      </c>
      <c r="C113" s="18" t="s">
        <v>70</v>
      </c>
      <c r="D113" s="18" t="s">
        <v>71</v>
      </c>
      <c r="E113" s="18"/>
      <c r="F113" s="18"/>
      <c r="G113" s="18" t="s">
        <v>1039</v>
      </c>
      <c r="H113" s="18" t="s">
        <v>1040</v>
      </c>
      <c r="I113" s="18" t="s">
        <v>1034</v>
      </c>
      <c r="J113" s="18" t="s">
        <v>790</v>
      </c>
      <c r="K113" s="18" t="s">
        <v>995</v>
      </c>
      <c r="L113" s="18" t="s">
        <v>996</v>
      </c>
      <c r="M113" s="19">
        <v>0</v>
      </c>
      <c r="N113" s="19">
        <v>30</v>
      </c>
      <c r="O113" s="19">
        <v>0</v>
      </c>
      <c r="P113" s="20">
        <v>30</v>
      </c>
      <c r="Q113" s="19">
        <v>0</v>
      </c>
      <c r="R113" s="19">
        <v>0</v>
      </c>
      <c r="S113" s="19">
        <v>0</v>
      </c>
      <c r="T113" s="19">
        <v>0</v>
      </c>
      <c r="U113" s="18" t="s">
        <v>997</v>
      </c>
      <c r="V113" s="21" t="s">
        <v>796</v>
      </c>
    </row>
    <row r="114" spans="1:22" ht="18.75">
      <c r="A114" s="17" t="s">
        <v>324</v>
      </c>
      <c r="B114" s="18" t="s">
        <v>325</v>
      </c>
      <c r="C114" s="18" t="s">
        <v>70</v>
      </c>
      <c r="D114" s="18" t="s">
        <v>71</v>
      </c>
      <c r="E114" s="18"/>
      <c r="F114" s="18"/>
      <c r="G114" s="18" t="s">
        <v>1041</v>
      </c>
      <c r="H114" s="18" t="s">
        <v>1042</v>
      </c>
      <c r="I114" s="18"/>
      <c r="J114" s="18" t="s">
        <v>790</v>
      </c>
      <c r="K114" s="18" t="s">
        <v>981</v>
      </c>
      <c r="L114" s="18" t="s">
        <v>982</v>
      </c>
      <c r="M114" s="19">
        <v>0</v>
      </c>
      <c r="N114" s="25">
        <v>20.55</v>
      </c>
      <c r="O114" s="22">
        <v>14.644</v>
      </c>
      <c r="P114" s="24">
        <v>5.9059999999999997</v>
      </c>
      <c r="Q114" s="19">
        <v>0</v>
      </c>
      <c r="R114" s="19">
        <v>0</v>
      </c>
      <c r="S114" s="19">
        <v>0</v>
      </c>
      <c r="T114" s="19">
        <v>0</v>
      </c>
      <c r="U114" s="18" t="s">
        <v>874</v>
      </c>
      <c r="V114" s="21" t="s">
        <v>984</v>
      </c>
    </row>
    <row r="115" spans="1:22" ht="18.75">
      <c r="A115" s="17" t="s">
        <v>324</v>
      </c>
      <c r="B115" s="18" t="s">
        <v>325</v>
      </c>
      <c r="C115" s="18" t="s">
        <v>70</v>
      </c>
      <c r="D115" s="18" t="s">
        <v>71</v>
      </c>
      <c r="E115" s="18"/>
      <c r="F115" s="18"/>
      <c r="G115" s="18" t="s">
        <v>1043</v>
      </c>
      <c r="H115" s="18" t="s">
        <v>1044</v>
      </c>
      <c r="I115" s="18"/>
      <c r="J115" s="18" t="s">
        <v>790</v>
      </c>
      <c r="K115" s="18" t="s">
        <v>981</v>
      </c>
      <c r="L115" s="18" t="s">
        <v>982</v>
      </c>
      <c r="M115" s="19">
        <v>0</v>
      </c>
      <c r="N115" s="19">
        <v>20</v>
      </c>
      <c r="O115" s="25">
        <v>0.54</v>
      </c>
      <c r="P115" s="23">
        <v>19.46</v>
      </c>
      <c r="Q115" s="19">
        <v>0</v>
      </c>
      <c r="R115" s="19">
        <v>0</v>
      </c>
      <c r="S115" s="19">
        <v>0</v>
      </c>
      <c r="T115" s="19">
        <v>0</v>
      </c>
      <c r="U115" s="18" t="s">
        <v>874</v>
      </c>
      <c r="V115" s="21" t="s">
        <v>987</v>
      </c>
    </row>
    <row r="116" spans="1:22" ht="18.75">
      <c r="A116" s="17" t="s">
        <v>324</v>
      </c>
      <c r="B116" s="18" t="s">
        <v>325</v>
      </c>
      <c r="C116" s="18" t="s">
        <v>70</v>
      </c>
      <c r="D116" s="18" t="s">
        <v>71</v>
      </c>
      <c r="E116" s="18"/>
      <c r="F116" s="18"/>
      <c r="G116" s="18" t="s">
        <v>1045</v>
      </c>
      <c r="H116" s="18" t="s">
        <v>1046</v>
      </c>
      <c r="I116" s="18"/>
      <c r="J116" s="18" t="s">
        <v>790</v>
      </c>
      <c r="K116" s="18" t="s">
        <v>981</v>
      </c>
      <c r="L116" s="18" t="s">
        <v>982</v>
      </c>
      <c r="M116" s="19">
        <v>0</v>
      </c>
      <c r="N116" s="19">
        <v>20</v>
      </c>
      <c r="O116" s="25">
        <v>11.23</v>
      </c>
      <c r="P116" s="23">
        <v>8.77</v>
      </c>
      <c r="Q116" s="19">
        <v>0</v>
      </c>
      <c r="R116" s="19">
        <v>0</v>
      </c>
      <c r="S116" s="19">
        <v>0</v>
      </c>
      <c r="T116" s="19">
        <v>0</v>
      </c>
      <c r="U116" s="18" t="s">
        <v>874</v>
      </c>
      <c r="V116" s="21" t="s">
        <v>797</v>
      </c>
    </row>
    <row r="117" spans="1:22" ht="18.75">
      <c r="A117" s="17" t="s">
        <v>324</v>
      </c>
      <c r="B117" s="18" t="s">
        <v>325</v>
      </c>
      <c r="C117" s="18" t="s">
        <v>70</v>
      </c>
      <c r="D117" s="18" t="s">
        <v>71</v>
      </c>
      <c r="E117" s="18"/>
      <c r="F117" s="18"/>
      <c r="G117" s="18" t="s">
        <v>1047</v>
      </c>
      <c r="H117" s="18" t="s">
        <v>957</v>
      </c>
      <c r="I117" s="18"/>
      <c r="J117" s="18" t="s">
        <v>790</v>
      </c>
      <c r="K117" s="18" t="s">
        <v>981</v>
      </c>
      <c r="L117" s="18" t="s">
        <v>982</v>
      </c>
      <c r="M117" s="19">
        <v>0</v>
      </c>
      <c r="N117" s="19">
        <v>10</v>
      </c>
      <c r="O117" s="22">
        <v>4.0129999999999999</v>
      </c>
      <c r="P117" s="24">
        <v>5.9870000000000001</v>
      </c>
      <c r="Q117" s="19">
        <v>0</v>
      </c>
      <c r="R117" s="19">
        <v>0</v>
      </c>
      <c r="S117" s="19">
        <v>0</v>
      </c>
      <c r="T117" s="19">
        <v>0</v>
      </c>
      <c r="U117" s="18" t="s">
        <v>874</v>
      </c>
      <c r="V117" s="21" t="s">
        <v>1048</v>
      </c>
    </row>
    <row r="118" spans="1:22" ht="18.75">
      <c r="A118" s="17" t="s">
        <v>324</v>
      </c>
      <c r="B118" s="18" t="s">
        <v>325</v>
      </c>
      <c r="C118" s="18" t="s">
        <v>70</v>
      </c>
      <c r="D118" s="18" t="s">
        <v>71</v>
      </c>
      <c r="E118" s="18"/>
      <c r="F118" s="18"/>
      <c r="G118" s="18" t="s">
        <v>948</v>
      </c>
      <c r="H118" s="18" t="s">
        <v>949</v>
      </c>
      <c r="I118" s="18" t="s">
        <v>884</v>
      </c>
      <c r="J118" s="18" t="s">
        <v>790</v>
      </c>
      <c r="K118" s="18" t="s">
        <v>981</v>
      </c>
      <c r="L118" s="18" t="s">
        <v>982</v>
      </c>
      <c r="M118" s="19">
        <v>0</v>
      </c>
      <c r="N118" s="19">
        <v>5</v>
      </c>
      <c r="O118" s="22">
        <v>4.6379999999999999</v>
      </c>
      <c r="P118" s="24">
        <v>0.36199999999999999</v>
      </c>
      <c r="Q118" s="19">
        <v>0</v>
      </c>
      <c r="R118" s="19">
        <v>0</v>
      </c>
      <c r="S118" s="19">
        <v>0</v>
      </c>
      <c r="T118" s="19">
        <v>0</v>
      </c>
      <c r="U118" s="18" t="s">
        <v>874</v>
      </c>
      <c r="V118" s="21" t="s">
        <v>816</v>
      </c>
    </row>
    <row r="119" spans="1:22" ht="18.75">
      <c r="A119" s="17" t="s">
        <v>324</v>
      </c>
      <c r="B119" s="18" t="s">
        <v>325</v>
      </c>
      <c r="C119" s="18" t="s">
        <v>70</v>
      </c>
      <c r="D119" s="18" t="s">
        <v>71</v>
      </c>
      <c r="E119" s="18"/>
      <c r="F119" s="18"/>
      <c r="G119" s="18" t="s">
        <v>877</v>
      </c>
      <c r="H119" s="18" t="s">
        <v>878</v>
      </c>
      <c r="I119" s="18" t="s">
        <v>819</v>
      </c>
      <c r="J119" s="18" t="s">
        <v>790</v>
      </c>
      <c r="K119" s="18" t="s">
        <v>995</v>
      </c>
      <c r="L119" s="18" t="s">
        <v>996</v>
      </c>
      <c r="M119" s="19">
        <v>0</v>
      </c>
      <c r="N119" s="19">
        <v>15</v>
      </c>
      <c r="O119" s="19">
        <v>6</v>
      </c>
      <c r="P119" s="20">
        <v>9</v>
      </c>
      <c r="Q119" s="19">
        <v>0</v>
      </c>
      <c r="R119" s="19">
        <v>0</v>
      </c>
      <c r="S119" s="19">
        <v>0</v>
      </c>
      <c r="T119" s="19">
        <v>0</v>
      </c>
      <c r="U119" s="18" t="s">
        <v>997</v>
      </c>
      <c r="V119" s="21" t="s">
        <v>902</v>
      </c>
    </row>
    <row r="120" spans="1:22" ht="18.75">
      <c r="A120" s="17" t="s">
        <v>324</v>
      </c>
      <c r="B120" s="18" t="s">
        <v>325</v>
      </c>
      <c r="C120" s="18" t="s">
        <v>70</v>
      </c>
      <c r="D120" s="18" t="s">
        <v>71</v>
      </c>
      <c r="E120" s="18"/>
      <c r="F120" s="18"/>
      <c r="G120" s="18" t="s">
        <v>877</v>
      </c>
      <c r="H120" s="18" t="s">
        <v>878</v>
      </c>
      <c r="I120" s="18" t="s">
        <v>819</v>
      </c>
      <c r="J120" s="18" t="s">
        <v>790</v>
      </c>
      <c r="K120" s="18" t="s">
        <v>981</v>
      </c>
      <c r="L120" s="18" t="s">
        <v>982</v>
      </c>
      <c r="M120" s="19">
        <v>0</v>
      </c>
      <c r="N120" s="19">
        <v>6</v>
      </c>
      <c r="O120" s="19">
        <v>0</v>
      </c>
      <c r="P120" s="20">
        <v>6</v>
      </c>
      <c r="Q120" s="19">
        <v>0</v>
      </c>
      <c r="R120" s="19">
        <v>0</v>
      </c>
      <c r="S120" s="19">
        <v>0</v>
      </c>
      <c r="T120" s="19">
        <v>0</v>
      </c>
      <c r="U120" s="18" t="s">
        <v>874</v>
      </c>
      <c r="V120" s="21" t="s">
        <v>902</v>
      </c>
    </row>
    <row r="121" spans="1:22" ht="18.75">
      <c r="A121" s="17" t="s">
        <v>324</v>
      </c>
      <c r="B121" s="18" t="s">
        <v>325</v>
      </c>
      <c r="C121" s="18" t="s">
        <v>70</v>
      </c>
      <c r="D121" s="18" t="s">
        <v>71</v>
      </c>
      <c r="E121" s="18"/>
      <c r="F121" s="18"/>
      <c r="G121" s="18" t="s">
        <v>1049</v>
      </c>
      <c r="H121" s="18" t="s">
        <v>1050</v>
      </c>
      <c r="I121" s="18" t="s">
        <v>1051</v>
      </c>
      <c r="J121" s="18" t="s">
        <v>790</v>
      </c>
      <c r="K121" s="18" t="s">
        <v>995</v>
      </c>
      <c r="L121" s="18" t="s">
        <v>996</v>
      </c>
      <c r="M121" s="19">
        <v>0</v>
      </c>
      <c r="N121" s="19">
        <v>30</v>
      </c>
      <c r="O121" s="19">
        <v>0</v>
      </c>
      <c r="P121" s="20">
        <v>30</v>
      </c>
      <c r="Q121" s="19">
        <v>0</v>
      </c>
      <c r="R121" s="19">
        <v>0</v>
      </c>
      <c r="S121" s="19">
        <v>0</v>
      </c>
      <c r="T121" s="19">
        <v>0</v>
      </c>
      <c r="U121" s="18" t="s">
        <v>997</v>
      </c>
      <c r="V121" s="21" t="s">
        <v>796</v>
      </c>
    </row>
    <row r="122" spans="1:22" ht="18.75">
      <c r="A122" s="17" t="s">
        <v>326</v>
      </c>
      <c r="B122" s="18" t="s">
        <v>327</v>
      </c>
      <c r="C122" s="18" t="s">
        <v>1052</v>
      </c>
      <c r="D122" s="18" t="s">
        <v>71</v>
      </c>
      <c r="E122" s="18"/>
      <c r="F122" s="18"/>
      <c r="G122" s="18" t="s">
        <v>1039</v>
      </c>
      <c r="H122" s="18" t="s">
        <v>1040</v>
      </c>
      <c r="I122" s="18" t="s">
        <v>1034</v>
      </c>
      <c r="J122" s="18" t="s">
        <v>790</v>
      </c>
      <c r="K122" s="18" t="s">
        <v>1000</v>
      </c>
      <c r="L122" s="18" t="s">
        <v>1001</v>
      </c>
      <c r="M122" s="19">
        <v>0</v>
      </c>
      <c r="N122" s="19">
        <v>24</v>
      </c>
      <c r="O122" s="19">
        <v>0</v>
      </c>
      <c r="P122" s="20">
        <v>24</v>
      </c>
      <c r="Q122" s="19">
        <v>0</v>
      </c>
      <c r="R122" s="19">
        <v>0</v>
      </c>
      <c r="S122" s="19">
        <v>0</v>
      </c>
      <c r="T122" s="19">
        <v>0</v>
      </c>
      <c r="U122" s="18" t="s">
        <v>918</v>
      </c>
      <c r="V122" s="21" t="s">
        <v>918</v>
      </c>
    </row>
    <row r="123" spans="1:22" ht="18.75">
      <c r="A123" s="17" t="s">
        <v>328</v>
      </c>
      <c r="B123" s="18" t="s">
        <v>329</v>
      </c>
      <c r="C123" s="18" t="s">
        <v>70</v>
      </c>
      <c r="D123" s="18" t="s">
        <v>71</v>
      </c>
      <c r="E123" s="18"/>
      <c r="F123" s="18"/>
      <c r="G123" s="18" t="s">
        <v>1053</v>
      </c>
      <c r="H123" s="18" t="s">
        <v>1054</v>
      </c>
      <c r="I123" s="18" t="s">
        <v>893</v>
      </c>
      <c r="J123" s="18" t="s">
        <v>790</v>
      </c>
      <c r="K123" s="18" t="s">
        <v>995</v>
      </c>
      <c r="L123" s="18" t="s">
        <v>996</v>
      </c>
      <c r="M123" s="19">
        <v>0</v>
      </c>
      <c r="N123" s="19">
        <v>3</v>
      </c>
      <c r="O123" s="19">
        <v>2</v>
      </c>
      <c r="P123" s="20">
        <v>1</v>
      </c>
      <c r="Q123" s="19">
        <v>0</v>
      </c>
      <c r="R123" s="19">
        <v>0</v>
      </c>
      <c r="S123" s="19">
        <v>0</v>
      </c>
      <c r="T123" s="19">
        <v>0</v>
      </c>
      <c r="U123" s="18" t="s">
        <v>997</v>
      </c>
      <c r="V123" s="21" t="s">
        <v>816</v>
      </c>
    </row>
    <row r="124" spans="1:22" ht="18.75">
      <c r="A124" s="17" t="s">
        <v>328</v>
      </c>
      <c r="B124" s="18" t="s">
        <v>329</v>
      </c>
      <c r="C124" s="18" t="s">
        <v>70</v>
      </c>
      <c r="D124" s="18" t="s">
        <v>71</v>
      </c>
      <c r="E124" s="18"/>
      <c r="F124" s="18"/>
      <c r="G124" s="18" t="s">
        <v>991</v>
      </c>
      <c r="H124" s="18" t="s">
        <v>992</v>
      </c>
      <c r="I124" s="18" t="s">
        <v>901</v>
      </c>
      <c r="J124" s="18" t="s">
        <v>790</v>
      </c>
      <c r="K124" s="18" t="s">
        <v>1000</v>
      </c>
      <c r="L124" s="18" t="s">
        <v>1001</v>
      </c>
      <c r="M124" s="19">
        <v>0</v>
      </c>
      <c r="N124" s="19">
        <v>10</v>
      </c>
      <c r="O124" s="19">
        <v>1</v>
      </c>
      <c r="P124" s="20">
        <v>9</v>
      </c>
      <c r="Q124" s="19">
        <v>0</v>
      </c>
      <c r="R124" s="19">
        <v>0</v>
      </c>
      <c r="S124" s="19">
        <v>0</v>
      </c>
      <c r="T124" s="19">
        <v>0</v>
      </c>
      <c r="U124" s="18" t="s">
        <v>918</v>
      </c>
      <c r="V124" s="21" t="s">
        <v>902</v>
      </c>
    </row>
    <row r="125" spans="1:22" ht="18.75">
      <c r="A125" s="17" t="s">
        <v>328</v>
      </c>
      <c r="B125" s="18" t="s">
        <v>329</v>
      </c>
      <c r="C125" s="18" t="s">
        <v>70</v>
      </c>
      <c r="D125" s="18" t="s">
        <v>71</v>
      </c>
      <c r="E125" s="18"/>
      <c r="F125" s="18"/>
      <c r="G125" s="18" t="s">
        <v>929</v>
      </c>
      <c r="H125" s="18" t="s">
        <v>930</v>
      </c>
      <c r="I125" s="18" t="s">
        <v>1055</v>
      </c>
      <c r="J125" s="18" t="s">
        <v>790</v>
      </c>
      <c r="K125" s="18" t="s">
        <v>995</v>
      </c>
      <c r="L125" s="18" t="s">
        <v>996</v>
      </c>
      <c r="M125" s="19">
        <v>0</v>
      </c>
      <c r="N125" s="19">
        <v>3</v>
      </c>
      <c r="O125" s="19">
        <v>1</v>
      </c>
      <c r="P125" s="20">
        <v>2</v>
      </c>
      <c r="Q125" s="19">
        <v>0</v>
      </c>
      <c r="R125" s="19">
        <v>0</v>
      </c>
      <c r="S125" s="19">
        <v>0</v>
      </c>
      <c r="T125" s="19">
        <v>0</v>
      </c>
      <c r="U125" s="18" t="s">
        <v>997</v>
      </c>
      <c r="V125" s="21" t="s">
        <v>918</v>
      </c>
    </row>
    <row r="126" spans="1:22" ht="18.75">
      <c r="A126" s="17" t="s">
        <v>328</v>
      </c>
      <c r="B126" s="18" t="s">
        <v>329</v>
      </c>
      <c r="C126" s="18" t="s">
        <v>70</v>
      </c>
      <c r="D126" s="18" t="s">
        <v>71</v>
      </c>
      <c r="E126" s="18"/>
      <c r="F126" s="18"/>
      <c r="G126" s="18" t="s">
        <v>929</v>
      </c>
      <c r="H126" s="18" t="s">
        <v>930</v>
      </c>
      <c r="I126" s="18" t="s">
        <v>1055</v>
      </c>
      <c r="J126" s="18" t="s">
        <v>790</v>
      </c>
      <c r="K126" s="18" t="s">
        <v>1000</v>
      </c>
      <c r="L126" s="18" t="s">
        <v>1001</v>
      </c>
      <c r="M126" s="19">
        <v>0</v>
      </c>
      <c r="N126" s="19">
        <v>2</v>
      </c>
      <c r="O126" s="19">
        <v>0</v>
      </c>
      <c r="P126" s="20">
        <v>2</v>
      </c>
      <c r="Q126" s="19">
        <v>0</v>
      </c>
      <c r="R126" s="19">
        <v>0</v>
      </c>
      <c r="S126" s="19">
        <v>0</v>
      </c>
      <c r="T126" s="19">
        <v>0</v>
      </c>
      <c r="U126" s="18" t="s">
        <v>918</v>
      </c>
      <c r="V126" s="21" t="s">
        <v>918</v>
      </c>
    </row>
    <row r="127" spans="1:22" ht="18.75">
      <c r="A127" s="17" t="s">
        <v>330</v>
      </c>
      <c r="B127" s="18" t="s">
        <v>331</v>
      </c>
      <c r="C127" s="18" t="s">
        <v>70</v>
      </c>
      <c r="D127" s="18" t="s">
        <v>71</v>
      </c>
      <c r="E127" s="18"/>
      <c r="F127" s="18"/>
      <c r="G127" s="18" t="s">
        <v>1056</v>
      </c>
      <c r="H127" s="18" t="s">
        <v>1057</v>
      </c>
      <c r="I127" s="18" t="s">
        <v>812</v>
      </c>
      <c r="J127" s="18" t="s">
        <v>790</v>
      </c>
      <c r="K127" s="18" t="s">
        <v>791</v>
      </c>
      <c r="L127" s="18" t="s">
        <v>792</v>
      </c>
      <c r="M127" s="19">
        <v>0</v>
      </c>
      <c r="N127" s="19">
        <v>2</v>
      </c>
      <c r="O127" s="19">
        <v>0</v>
      </c>
      <c r="P127" s="20">
        <v>2</v>
      </c>
      <c r="Q127" s="19">
        <v>0</v>
      </c>
      <c r="R127" s="19">
        <v>0</v>
      </c>
      <c r="S127" s="19">
        <v>0</v>
      </c>
      <c r="T127" s="19">
        <v>0</v>
      </c>
      <c r="U127" s="18" t="s">
        <v>911</v>
      </c>
      <c r="V127" s="21" t="s">
        <v>910</v>
      </c>
    </row>
    <row r="128" spans="1:22" ht="18.75">
      <c r="A128" s="17" t="s">
        <v>330</v>
      </c>
      <c r="B128" s="18" t="s">
        <v>331</v>
      </c>
      <c r="C128" s="18" t="s">
        <v>70</v>
      </c>
      <c r="D128" s="18" t="s">
        <v>71</v>
      </c>
      <c r="E128" s="18"/>
      <c r="F128" s="18"/>
      <c r="G128" s="18" t="s">
        <v>973</v>
      </c>
      <c r="H128" s="18" t="s">
        <v>974</v>
      </c>
      <c r="I128" s="18" t="s">
        <v>925</v>
      </c>
      <c r="J128" s="18" t="s">
        <v>790</v>
      </c>
      <c r="K128" s="18" t="s">
        <v>843</v>
      </c>
      <c r="L128" s="18" t="s">
        <v>844</v>
      </c>
      <c r="M128" s="19">
        <v>0</v>
      </c>
      <c r="N128" s="19">
        <v>320</v>
      </c>
      <c r="O128" s="19">
        <v>165</v>
      </c>
      <c r="P128" s="20">
        <v>155</v>
      </c>
      <c r="Q128" s="19">
        <v>0</v>
      </c>
      <c r="R128" s="19">
        <v>0</v>
      </c>
      <c r="S128" s="19">
        <v>0</v>
      </c>
      <c r="T128" s="19">
        <v>0</v>
      </c>
      <c r="U128" s="18" t="s">
        <v>954</v>
      </c>
      <c r="V128" s="21" t="s">
        <v>839</v>
      </c>
    </row>
    <row r="129" spans="1:22" ht="18.75">
      <c r="A129" s="17" t="s">
        <v>330</v>
      </c>
      <c r="B129" s="18" t="s">
        <v>331</v>
      </c>
      <c r="C129" s="18" t="s">
        <v>70</v>
      </c>
      <c r="D129" s="18" t="s">
        <v>71</v>
      </c>
      <c r="E129" s="18"/>
      <c r="F129" s="18"/>
      <c r="G129" s="18" t="s">
        <v>963</v>
      </c>
      <c r="H129" s="18" t="s">
        <v>964</v>
      </c>
      <c r="I129" s="18" t="s">
        <v>965</v>
      </c>
      <c r="J129" s="18" t="s">
        <v>790</v>
      </c>
      <c r="K129" s="18" t="s">
        <v>824</v>
      </c>
      <c r="L129" s="18" t="s">
        <v>825</v>
      </c>
      <c r="M129" s="19">
        <v>0</v>
      </c>
      <c r="N129" s="19">
        <v>499</v>
      </c>
      <c r="O129" s="19">
        <v>9</v>
      </c>
      <c r="P129" s="20">
        <v>490</v>
      </c>
      <c r="Q129" s="19">
        <v>0</v>
      </c>
      <c r="R129" s="19">
        <v>0</v>
      </c>
      <c r="S129" s="19">
        <v>0</v>
      </c>
      <c r="T129" s="19">
        <v>0</v>
      </c>
      <c r="U129" s="18" t="s">
        <v>871</v>
      </c>
      <c r="V129" s="21" t="s">
        <v>1058</v>
      </c>
    </row>
    <row r="130" spans="1:22" ht="18.75">
      <c r="A130" s="17" t="s">
        <v>330</v>
      </c>
      <c r="B130" s="18" t="s">
        <v>331</v>
      </c>
      <c r="C130" s="18" t="s">
        <v>70</v>
      </c>
      <c r="D130" s="18" t="s">
        <v>71</v>
      </c>
      <c r="E130" s="18"/>
      <c r="F130" s="18"/>
      <c r="G130" s="18" t="s">
        <v>963</v>
      </c>
      <c r="H130" s="18" t="s">
        <v>964</v>
      </c>
      <c r="I130" s="18" t="s">
        <v>965</v>
      </c>
      <c r="J130" s="18" t="s">
        <v>790</v>
      </c>
      <c r="K130" s="18" t="s">
        <v>828</v>
      </c>
      <c r="L130" s="18" t="s">
        <v>829</v>
      </c>
      <c r="M130" s="19">
        <v>0</v>
      </c>
      <c r="N130" s="19">
        <v>198</v>
      </c>
      <c r="O130" s="19">
        <v>56</v>
      </c>
      <c r="P130" s="20">
        <v>142</v>
      </c>
      <c r="Q130" s="19">
        <v>0</v>
      </c>
      <c r="R130" s="19">
        <v>0</v>
      </c>
      <c r="S130" s="19">
        <v>0</v>
      </c>
      <c r="T130" s="19">
        <v>0</v>
      </c>
      <c r="U130" s="18" t="s">
        <v>47</v>
      </c>
      <c r="V130" s="21" t="s">
        <v>1058</v>
      </c>
    </row>
    <row r="131" spans="1:22" ht="18.75">
      <c r="A131" s="17" t="s">
        <v>330</v>
      </c>
      <c r="B131" s="18" t="s">
        <v>331</v>
      </c>
      <c r="C131" s="18" t="s">
        <v>70</v>
      </c>
      <c r="D131" s="18" t="s">
        <v>71</v>
      </c>
      <c r="E131" s="18"/>
      <c r="F131" s="18"/>
      <c r="G131" s="18" t="s">
        <v>963</v>
      </c>
      <c r="H131" s="18" t="s">
        <v>964</v>
      </c>
      <c r="I131" s="18" t="s">
        <v>965</v>
      </c>
      <c r="J131" s="18" t="s">
        <v>790</v>
      </c>
      <c r="K131" s="18" t="s">
        <v>810</v>
      </c>
      <c r="L131" s="18" t="s">
        <v>811</v>
      </c>
      <c r="M131" s="19">
        <v>0</v>
      </c>
      <c r="N131" s="19">
        <v>2</v>
      </c>
      <c r="O131" s="19">
        <v>0</v>
      </c>
      <c r="P131" s="20">
        <v>2</v>
      </c>
      <c r="Q131" s="19">
        <v>0</v>
      </c>
      <c r="R131" s="19">
        <v>0</v>
      </c>
      <c r="S131" s="19">
        <v>0</v>
      </c>
      <c r="T131" s="19">
        <v>0</v>
      </c>
      <c r="U131" s="18" t="s">
        <v>47</v>
      </c>
      <c r="V131" s="21" t="s">
        <v>1058</v>
      </c>
    </row>
    <row r="132" spans="1:22" ht="18.75">
      <c r="A132" s="17" t="s">
        <v>330</v>
      </c>
      <c r="B132" s="18" t="s">
        <v>331</v>
      </c>
      <c r="C132" s="18" t="s">
        <v>70</v>
      </c>
      <c r="D132" s="18" t="s">
        <v>71</v>
      </c>
      <c r="E132" s="18"/>
      <c r="F132" s="18"/>
      <c r="G132" s="18" t="s">
        <v>1059</v>
      </c>
      <c r="H132" s="18" t="s">
        <v>1060</v>
      </c>
      <c r="I132" s="18" t="s">
        <v>1061</v>
      </c>
      <c r="J132" s="18" t="s">
        <v>790</v>
      </c>
      <c r="K132" s="18" t="s">
        <v>828</v>
      </c>
      <c r="L132" s="18" t="s">
        <v>829</v>
      </c>
      <c r="M132" s="19">
        <v>0</v>
      </c>
      <c r="N132" s="19">
        <v>9</v>
      </c>
      <c r="O132" s="19">
        <v>0</v>
      </c>
      <c r="P132" s="20">
        <v>9</v>
      </c>
      <c r="Q132" s="19">
        <v>0</v>
      </c>
      <c r="R132" s="19">
        <v>0</v>
      </c>
      <c r="S132" s="19">
        <v>0</v>
      </c>
      <c r="T132" s="19">
        <v>0</v>
      </c>
      <c r="U132" s="18" t="s">
        <v>47</v>
      </c>
      <c r="V132" s="21" t="s">
        <v>1062</v>
      </c>
    </row>
    <row r="133" spans="1:22" ht="18.75">
      <c r="A133" s="17" t="s">
        <v>330</v>
      </c>
      <c r="B133" s="18" t="s">
        <v>331</v>
      </c>
      <c r="C133" s="18" t="s">
        <v>70</v>
      </c>
      <c r="D133" s="18" t="s">
        <v>71</v>
      </c>
      <c r="E133" s="18"/>
      <c r="F133" s="18"/>
      <c r="G133" s="18" t="s">
        <v>1063</v>
      </c>
      <c r="H133" s="18" t="s">
        <v>1064</v>
      </c>
      <c r="I133" s="18" t="s">
        <v>1065</v>
      </c>
      <c r="J133" s="18" t="s">
        <v>790</v>
      </c>
      <c r="K133" s="18" t="s">
        <v>856</v>
      </c>
      <c r="L133" s="18" t="s">
        <v>857</v>
      </c>
      <c r="M133" s="19">
        <v>0</v>
      </c>
      <c r="N133" s="19">
        <v>811</v>
      </c>
      <c r="O133" s="19">
        <v>0</v>
      </c>
      <c r="P133" s="20">
        <v>811</v>
      </c>
      <c r="Q133" s="19">
        <v>0</v>
      </c>
      <c r="R133" s="19">
        <v>0</v>
      </c>
      <c r="S133" s="19">
        <v>0</v>
      </c>
      <c r="T133" s="19">
        <v>0</v>
      </c>
      <c r="U133" s="18" t="s">
        <v>47</v>
      </c>
      <c r="V133" s="21" t="s">
        <v>1062</v>
      </c>
    </row>
    <row r="134" spans="1:22" ht="18.75">
      <c r="A134" s="17" t="s">
        <v>332</v>
      </c>
      <c r="B134" s="18" t="s">
        <v>333</v>
      </c>
      <c r="C134" s="18" t="s">
        <v>70</v>
      </c>
      <c r="D134" s="18" t="s">
        <v>71</v>
      </c>
      <c r="E134" s="18"/>
      <c r="F134" s="18"/>
      <c r="G134" s="18" t="s">
        <v>1021</v>
      </c>
      <c r="H134" s="18" t="s">
        <v>1022</v>
      </c>
      <c r="I134" s="18" t="s">
        <v>1023</v>
      </c>
      <c r="J134" s="18" t="s">
        <v>790</v>
      </c>
      <c r="K134" s="18" t="s">
        <v>824</v>
      </c>
      <c r="L134" s="18" t="s">
        <v>825</v>
      </c>
      <c r="M134" s="19">
        <v>0</v>
      </c>
      <c r="N134" s="19">
        <v>200</v>
      </c>
      <c r="O134" s="19">
        <v>131</v>
      </c>
      <c r="P134" s="20">
        <v>69</v>
      </c>
      <c r="Q134" s="19">
        <v>0</v>
      </c>
      <c r="R134" s="19">
        <v>0</v>
      </c>
      <c r="S134" s="19">
        <v>0</v>
      </c>
      <c r="T134" s="19">
        <v>0</v>
      </c>
      <c r="U134" s="18" t="s">
        <v>793</v>
      </c>
      <c r="V134" s="21" t="s">
        <v>993</v>
      </c>
    </row>
    <row r="135" spans="1:22" ht="18.75">
      <c r="A135" s="17" t="s">
        <v>332</v>
      </c>
      <c r="B135" s="18" t="s">
        <v>333</v>
      </c>
      <c r="C135" s="18" t="s">
        <v>70</v>
      </c>
      <c r="D135" s="18" t="s">
        <v>71</v>
      </c>
      <c r="E135" s="18"/>
      <c r="F135" s="18"/>
      <c r="G135" s="18" t="s">
        <v>1021</v>
      </c>
      <c r="H135" s="18" t="s">
        <v>1022</v>
      </c>
      <c r="I135" s="18" t="s">
        <v>1023</v>
      </c>
      <c r="J135" s="18" t="s">
        <v>790</v>
      </c>
      <c r="K135" s="18" t="s">
        <v>810</v>
      </c>
      <c r="L135" s="18" t="s">
        <v>811</v>
      </c>
      <c r="M135" s="19">
        <v>0</v>
      </c>
      <c r="N135" s="19">
        <v>3</v>
      </c>
      <c r="O135" s="19">
        <v>0</v>
      </c>
      <c r="P135" s="20">
        <v>3</v>
      </c>
      <c r="Q135" s="19">
        <v>0</v>
      </c>
      <c r="R135" s="19">
        <v>0</v>
      </c>
      <c r="S135" s="19">
        <v>0</v>
      </c>
      <c r="T135" s="19">
        <v>0</v>
      </c>
      <c r="U135" s="18" t="s">
        <v>47</v>
      </c>
      <c r="V135" s="21" t="s">
        <v>993</v>
      </c>
    </row>
    <row r="136" spans="1:22" ht="18.75">
      <c r="A136" s="17" t="s">
        <v>332</v>
      </c>
      <c r="B136" s="18" t="s">
        <v>333</v>
      </c>
      <c r="C136" s="18" t="s">
        <v>70</v>
      </c>
      <c r="D136" s="18" t="s">
        <v>71</v>
      </c>
      <c r="E136" s="18"/>
      <c r="F136" s="18"/>
      <c r="G136" s="18" t="s">
        <v>1066</v>
      </c>
      <c r="H136" s="18" t="s">
        <v>1067</v>
      </c>
      <c r="I136" s="18" t="s">
        <v>1068</v>
      </c>
      <c r="J136" s="18" t="s">
        <v>790</v>
      </c>
      <c r="K136" s="18" t="s">
        <v>843</v>
      </c>
      <c r="L136" s="18" t="s">
        <v>844</v>
      </c>
      <c r="M136" s="19">
        <v>0</v>
      </c>
      <c r="N136" s="19">
        <v>160</v>
      </c>
      <c r="O136" s="19">
        <v>25</v>
      </c>
      <c r="P136" s="20">
        <v>135</v>
      </c>
      <c r="Q136" s="19">
        <v>0</v>
      </c>
      <c r="R136" s="19">
        <v>0</v>
      </c>
      <c r="S136" s="19">
        <v>0</v>
      </c>
      <c r="T136" s="19">
        <v>0</v>
      </c>
      <c r="U136" s="18" t="s">
        <v>954</v>
      </c>
      <c r="V136" s="21" t="s">
        <v>902</v>
      </c>
    </row>
    <row r="137" spans="1:22" ht="18.75">
      <c r="A137" s="17" t="s">
        <v>332</v>
      </c>
      <c r="B137" s="18" t="s">
        <v>333</v>
      </c>
      <c r="C137" s="18" t="s">
        <v>70</v>
      </c>
      <c r="D137" s="18" t="s">
        <v>71</v>
      </c>
      <c r="E137" s="18"/>
      <c r="F137" s="18"/>
      <c r="G137" s="18" t="s">
        <v>1066</v>
      </c>
      <c r="H137" s="18" t="s">
        <v>1067</v>
      </c>
      <c r="I137" s="18" t="s">
        <v>1068</v>
      </c>
      <c r="J137" s="18" t="s">
        <v>790</v>
      </c>
      <c r="K137" s="18" t="s">
        <v>810</v>
      </c>
      <c r="L137" s="18" t="s">
        <v>811</v>
      </c>
      <c r="M137" s="19">
        <v>0</v>
      </c>
      <c r="N137" s="19">
        <v>2</v>
      </c>
      <c r="O137" s="19">
        <v>0</v>
      </c>
      <c r="P137" s="20">
        <v>2</v>
      </c>
      <c r="Q137" s="19">
        <v>0</v>
      </c>
      <c r="R137" s="19">
        <v>0</v>
      </c>
      <c r="S137" s="19">
        <v>0</v>
      </c>
      <c r="T137" s="19">
        <v>0</v>
      </c>
      <c r="U137" s="18" t="s">
        <v>47</v>
      </c>
      <c r="V137" s="21" t="s">
        <v>902</v>
      </c>
    </row>
    <row r="138" spans="1:22" ht="18.75">
      <c r="A138" s="17" t="s">
        <v>332</v>
      </c>
      <c r="B138" s="18" t="s">
        <v>333</v>
      </c>
      <c r="C138" s="18" t="s">
        <v>70</v>
      </c>
      <c r="D138" s="18" t="s">
        <v>71</v>
      </c>
      <c r="E138" s="18"/>
      <c r="F138" s="18"/>
      <c r="G138" s="18" t="s">
        <v>1069</v>
      </c>
      <c r="H138" s="18" t="s">
        <v>1070</v>
      </c>
      <c r="I138" s="18" t="s">
        <v>860</v>
      </c>
      <c r="J138" s="18" t="s">
        <v>790</v>
      </c>
      <c r="K138" s="18" t="s">
        <v>824</v>
      </c>
      <c r="L138" s="18" t="s">
        <v>825</v>
      </c>
      <c r="M138" s="19">
        <v>0</v>
      </c>
      <c r="N138" s="19">
        <v>40</v>
      </c>
      <c r="O138" s="19">
        <v>0</v>
      </c>
      <c r="P138" s="20">
        <v>40</v>
      </c>
      <c r="Q138" s="19">
        <v>0</v>
      </c>
      <c r="R138" s="19">
        <v>0</v>
      </c>
      <c r="S138" s="19">
        <v>0</v>
      </c>
      <c r="T138" s="19">
        <v>0</v>
      </c>
      <c r="U138" s="18" t="s">
        <v>793</v>
      </c>
      <c r="V138" s="21" t="s">
        <v>1071</v>
      </c>
    </row>
    <row r="139" spans="1:22" ht="18.75">
      <c r="A139" s="17" t="s">
        <v>332</v>
      </c>
      <c r="B139" s="18" t="s">
        <v>333</v>
      </c>
      <c r="C139" s="18" t="s">
        <v>70</v>
      </c>
      <c r="D139" s="18" t="s">
        <v>71</v>
      </c>
      <c r="E139" s="18"/>
      <c r="F139" s="18"/>
      <c r="G139" s="18" t="s">
        <v>1069</v>
      </c>
      <c r="H139" s="18" t="s">
        <v>1070</v>
      </c>
      <c r="I139" s="18" t="s">
        <v>860</v>
      </c>
      <c r="J139" s="18" t="s">
        <v>790</v>
      </c>
      <c r="K139" s="18" t="s">
        <v>828</v>
      </c>
      <c r="L139" s="18" t="s">
        <v>829</v>
      </c>
      <c r="M139" s="19">
        <v>0</v>
      </c>
      <c r="N139" s="19">
        <v>59</v>
      </c>
      <c r="O139" s="19">
        <v>41</v>
      </c>
      <c r="P139" s="20">
        <v>18</v>
      </c>
      <c r="Q139" s="19">
        <v>0</v>
      </c>
      <c r="R139" s="19">
        <v>0</v>
      </c>
      <c r="S139" s="19">
        <v>0</v>
      </c>
      <c r="T139" s="19">
        <v>0</v>
      </c>
      <c r="U139" s="18" t="s">
        <v>47</v>
      </c>
      <c r="V139" s="21" t="s">
        <v>1071</v>
      </c>
    </row>
    <row r="140" spans="1:22" ht="18.75">
      <c r="A140" s="17" t="s">
        <v>332</v>
      </c>
      <c r="B140" s="18" t="s">
        <v>333</v>
      </c>
      <c r="C140" s="18" t="s">
        <v>70</v>
      </c>
      <c r="D140" s="18" t="s">
        <v>71</v>
      </c>
      <c r="E140" s="18"/>
      <c r="F140" s="18"/>
      <c r="G140" s="18" t="s">
        <v>1069</v>
      </c>
      <c r="H140" s="18" t="s">
        <v>1070</v>
      </c>
      <c r="I140" s="18" t="s">
        <v>860</v>
      </c>
      <c r="J140" s="18" t="s">
        <v>790</v>
      </c>
      <c r="K140" s="18" t="s">
        <v>810</v>
      </c>
      <c r="L140" s="18" t="s">
        <v>811</v>
      </c>
      <c r="M140" s="19">
        <v>0</v>
      </c>
      <c r="N140" s="19">
        <v>1</v>
      </c>
      <c r="O140" s="19">
        <v>0</v>
      </c>
      <c r="P140" s="20">
        <v>1</v>
      </c>
      <c r="Q140" s="19">
        <v>0</v>
      </c>
      <c r="R140" s="19">
        <v>0</v>
      </c>
      <c r="S140" s="19">
        <v>0</v>
      </c>
      <c r="T140" s="19">
        <v>0</v>
      </c>
      <c r="U140" s="18" t="s">
        <v>47</v>
      </c>
      <c r="V140" s="21" t="s">
        <v>1071</v>
      </c>
    </row>
    <row r="141" spans="1:22" ht="18.75">
      <c r="A141" s="17" t="s">
        <v>332</v>
      </c>
      <c r="B141" s="18" t="s">
        <v>333</v>
      </c>
      <c r="C141" s="18" t="s">
        <v>70</v>
      </c>
      <c r="D141" s="18" t="s">
        <v>71</v>
      </c>
      <c r="E141" s="18"/>
      <c r="F141" s="18"/>
      <c r="G141" s="18" t="s">
        <v>1059</v>
      </c>
      <c r="H141" s="18" t="s">
        <v>1060</v>
      </c>
      <c r="I141" s="18" t="s">
        <v>1061</v>
      </c>
      <c r="J141" s="18" t="s">
        <v>790</v>
      </c>
      <c r="K141" s="18" t="s">
        <v>828</v>
      </c>
      <c r="L141" s="18" t="s">
        <v>829</v>
      </c>
      <c r="M141" s="19">
        <v>0</v>
      </c>
      <c r="N141" s="19">
        <v>60</v>
      </c>
      <c r="O141" s="19">
        <v>0</v>
      </c>
      <c r="P141" s="20">
        <v>60</v>
      </c>
      <c r="Q141" s="19">
        <v>0</v>
      </c>
      <c r="R141" s="19">
        <v>0</v>
      </c>
      <c r="S141" s="19">
        <v>0</v>
      </c>
      <c r="T141" s="19">
        <v>0</v>
      </c>
      <c r="U141" s="18" t="s">
        <v>47</v>
      </c>
      <c r="V141" s="21" t="s">
        <v>953</v>
      </c>
    </row>
    <row r="142" spans="1:22" ht="18.75">
      <c r="A142" s="17" t="s">
        <v>332</v>
      </c>
      <c r="B142" s="18" t="s">
        <v>333</v>
      </c>
      <c r="C142" s="18" t="s">
        <v>70</v>
      </c>
      <c r="D142" s="18" t="s">
        <v>71</v>
      </c>
      <c r="E142" s="18"/>
      <c r="F142" s="18"/>
      <c r="G142" s="18" t="s">
        <v>1059</v>
      </c>
      <c r="H142" s="18" t="s">
        <v>1060</v>
      </c>
      <c r="I142" s="18" t="s">
        <v>1061</v>
      </c>
      <c r="J142" s="18" t="s">
        <v>790</v>
      </c>
      <c r="K142" s="18" t="s">
        <v>856</v>
      </c>
      <c r="L142" s="18" t="s">
        <v>857</v>
      </c>
      <c r="M142" s="19">
        <v>0</v>
      </c>
      <c r="N142" s="19">
        <v>142</v>
      </c>
      <c r="O142" s="19">
        <v>62</v>
      </c>
      <c r="P142" s="20">
        <v>80</v>
      </c>
      <c r="Q142" s="19">
        <v>0</v>
      </c>
      <c r="R142" s="19">
        <v>0</v>
      </c>
      <c r="S142" s="19">
        <v>0</v>
      </c>
      <c r="T142" s="19">
        <v>0</v>
      </c>
      <c r="U142" s="18" t="s">
        <v>47</v>
      </c>
      <c r="V142" s="21" t="s">
        <v>953</v>
      </c>
    </row>
    <row r="143" spans="1:22" ht="18.75">
      <c r="A143" s="17" t="s">
        <v>332</v>
      </c>
      <c r="B143" s="18" t="s">
        <v>333</v>
      </c>
      <c r="C143" s="18" t="s">
        <v>70</v>
      </c>
      <c r="D143" s="18" t="s">
        <v>71</v>
      </c>
      <c r="E143" s="18"/>
      <c r="F143" s="18"/>
      <c r="G143" s="18" t="s">
        <v>1059</v>
      </c>
      <c r="H143" s="18" t="s">
        <v>1060</v>
      </c>
      <c r="I143" s="18" t="s">
        <v>1061</v>
      </c>
      <c r="J143" s="18" t="s">
        <v>790</v>
      </c>
      <c r="K143" s="18" t="s">
        <v>810</v>
      </c>
      <c r="L143" s="18" t="s">
        <v>811</v>
      </c>
      <c r="M143" s="19">
        <v>0</v>
      </c>
      <c r="N143" s="19">
        <v>2</v>
      </c>
      <c r="O143" s="19">
        <v>0</v>
      </c>
      <c r="P143" s="20">
        <v>2</v>
      </c>
      <c r="Q143" s="19">
        <v>0</v>
      </c>
      <c r="R143" s="19">
        <v>0</v>
      </c>
      <c r="S143" s="19">
        <v>0</v>
      </c>
      <c r="T143" s="19">
        <v>0</v>
      </c>
      <c r="U143" s="18" t="s">
        <v>47</v>
      </c>
      <c r="V143" s="21" t="s">
        <v>953</v>
      </c>
    </row>
    <row r="144" spans="1:22" ht="18.75">
      <c r="A144" s="17" t="s">
        <v>332</v>
      </c>
      <c r="B144" s="18" t="s">
        <v>333</v>
      </c>
      <c r="C144" s="18" t="s">
        <v>70</v>
      </c>
      <c r="D144" s="18" t="s">
        <v>71</v>
      </c>
      <c r="E144" s="18"/>
      <c r="F144" s="18"/>
      <c r="G144" s="18" t="s">
        <v>1072</v>
      </c>
      <c r="H144" s="18" t="s">
        <v>1073</v>
      </c>
      <c r="I144" s="18" t="s">
        <v>870</v>
      </c>
      <c r="J144" s="18" t="s">
        <v>790</v>
      </c>
      <c r="K144" s="18" t="s">
        <v>856</v>
      </c>
      <c r="L144" s="18" t="s">
        <v>857</v>
      </c>
      <c r="M144" s="19">
        <v>0</v>
      </c>
      <c r="N144" s="19">
        <v>758</v>
      </c>
      <c r="O144" s="19">
        <v>0</v>
      </c>
      <c r="P144" s="20">
        <v>758</v>
      </c>
      <c r="Q144" s="19">
        <v>0</v>
      </c>
      <c r="R144" s="19">
        <v>0</v>
      </c>
      <c r="S144" s="19">
        <v>0</v>
      </c>
      <c r="T144" s="19">
        <v>0</v>
      </c>
      <c r="U144" s="18" t="s">
        <v>47</v>
      </c>
      <c r="V144" s="21" t="s">
        <v>953</v>
      </c>
    </row>
    <row r="145" spans="1:22" ht="18.75">
      <c r="A145" s="17" t="s">
        <v>334</v>
      </c>
      <c r="B145" s="18" t="s">
        <v>335</v>
      </c>
      <c r="C145" s="18" t="s">
        <v>70</v>
      </c>
      <c r="D145" s="18" t="s">
        <v>71</v>
      </c>
      <c r="E145" s="18"/>
      <c r="F145" s="18"/>
      <c r="G145" s="18" t="s">
        <v>1074</v>
      </c>
      <c r="H145" s="18" t="s">
        <v>1075</v>
      </c>
      <c r="I145" s="18" t="s">
        <v>1076</v>
      </c>
      <c r="J145" s="18" t="s">
        <v>790</v>
      </c>
      <c r="K145" s="18" t="s">
        <v>1077</v>
      </c>
      <c r="L145" s="18" t="s">
        <v>1078</v>
      </c>
      <c r="M145" s="19">
        <v>0</v>
      </c>
      <c r="N145" s="19">
        <v>2</v>
      </c>
      <c r="O145" s="19">
        <v>0</v>
      </c>
      <c r="P145" s="20">
        <v>2</v>
      </c>
      <c r="Q145" s="19">
        <v>0</v>
      </c>
      <c r="R145" s="19">
        <v>0</v>
      </c>
      <c r="S145" s="19">
        <v>0</v>
      </c>
      <c r="T145" s="19">
        <v>0</v>
      </c>
      <c r="U145" s="18" t="s">
        <v>820</v>
      </c>
      <c r="V145" s="21" t="s">
        <v>1079</v>
      </c>
    </row>
    <row r="146" spans="1:22" ht="18.75">
      <c r="A146" s="17" t="s">
        <v>334</v>
      </c>
      <c r="B146" s="18" t="s">
        <v>335</v>
      </c>
      <c r="C146" s="18" t="s">
        <v>70</v>
      </c>
      <c r="D146" s="18" t="s">
        <v>71</v>
      </c>
      <c r="E146" s="18"/>
      <c r="F146" s="18"/>
      <c r="G146" s="18" t="s">
        <v>1080</v>
      </c>
      <c r="H146" s="18" t="s">
        <v>1081</v>
      </c>
      <c r="I146" s="18" t="s">
        <v>827</v>
      </c>
      <c r="J146" s="18" t="s">
        <v>790</v>
      </c>
      <c r="K146" s="18" t="s">
        <v>837</v>
      </c>
      <c r="L146" s="18" t="s">
        <v>838</v>
      </c>
      <c r="M146" s="19">
        <v>0</v>
      </c>
      <c r="N146" s="19">
        <v>40</v>
      </c>
      <c r="O146" s="19">
        <v>0</v>
      </c>
      <c r="P146" s="20">
        <v>40</v>
      </c>
      <c r="Q146" s="19">
        <v>0</v>
      </c>
      <c r="R146" s="19">
        <v>0</v>
      </c>
      <c r="S146" s="19">
        <v>0</v>
      </c>
      <c r="T146" s="19">
        <v>0</v>
      </c>
      <c r="U146" s="18" t="s">
        <v>47</v>
      </c>
      <c r="V146" s="21" t="s">
        <v>1082</v>
      </c>
    </row>
    <row r="147" spans="1:22" ht="18.75">
      <c r="A147" s="17" t="s">
        <v>334</v>
      </c>
      <c r="B147" s="18" t="s">
        <v>335</v>
      </c>
      <c r="C147" s="18" t="s">
        <v>70</v>
      </c>
      <c r="D147" s="18" t="s">
        <v>71</v>
      </c>
      <c r="E147" s="18"/>
      <c r="F147" s="18"/>
      <c r="G147" s="18" t="s">
        <v>1080</v>
      </c>
      <c r="H147" s="18" t="s">
        <v>1081</v>
      </c>
      <c r="I147" s="18" t="s">
        <v>827</v>
      </c>
      <c r="J147" s="18" t="s">
        <v>790</v>
      </c>
      <c r="K147" s="18" t="s">
        <v>828</v>
      </c>
      <c r="L147" s="18" t="s">
        <v>829</v>
      </c>
      <c r="M147" s="19">
        <v>0</v>
      </c>
      <c r="N147" s="19">
        <v>80</v>
      </c>
      <c r="O147" s="19">
        <v>5</v>
      </c>
      <c r="P147" s="20">
        <v>75</v>
      </c>
      <c r="Q147" s="19">
        <v>0</v>
      </c>
      <c r="R147" s="19">
        <v>0</v>
      </c>
      <c r="S147" s="19">
        <v>0</v>
      </c>
      <c r="T147" s="19">
        <v>0</v>
      </c>
      <c r="U147" s="18" t="s">
        <v>47</v>
      </c>
      <c r="V147" s="21" t="s">
        <v>1082</v>
      </c>
    </row>
    <row r="148" spans="1:22" ht="18.75">
      <c r="A148" s="17" t="s">
        <v>334</v>
      </c>
      <c r="B148" s="18" t="s">
        <v>335</v>
      </c>
      <c r="C148" s="18" t="s">
        <v>70</v>
      </c>
      <c r="D148" s="18" t="s">
        <v>71</v>
      </c>
      <c r="E148" s="18"/>
      <c r="F148" s="18"/>
      <c r="G148" s="18" t="s">
        <v>1080</v>
      </c>
      <c r="H148" s="18" t="s">
        <v>1081</v>
      </c>
      <c r="I148" s="18" t="s">
        <v>827</v>
      </c>
      <c r="J148" s="18" t="s">
        <v>790</v>
      </c>
      <c r="K148" s="18" t="s">
        <v>843</v>
      </c>
      <c r="L148" s="18" t="s">
        <v>844</v>
      </c>
      <c r="M148" s="19">
        <v>0</v>
      </c>
      <c r="N148" s="19">
        <v>720</v>
      </c>
      <c r="O148" s="19">
        <v>443</v>
      </c>
      <c r="P148" s="20">
        <v>277</v>
      </c>
      <c r="Q148" s="19">
        <v>0</v>
      </c>
      <c r="R148" s="19">
        <v>0</v>
      </c>
      <c r="S148" s="19">
        <v>0</v>
      </c>
      <c r="T148" s="19">
        <v>0</v>
      </c>
      <c r="U148" s="18" t="s">
        <v>1082</v>
      </c>
      <c r="V148" s="21" t="s">
        <v>1082</v>
      </c>
    </row>
    <row r="149" spans="1:22" ht="18.75">
      <c r="A149" s="17" t="s">
        <v>334</v>
      </c>
      <c r="B149" s="18" t="s">
        <v>335</v>
      </c>
      <c r="C149" s="18" t="s">
        <v>70</v>
      </c>
      <c r="D149" s="18" t="s">
        <v>71</v>
      </c>
      <c r="E149" s="18"/>
      <c r="F149" s="18"/>
      <c r="G149" s="18" t="s">
        <v>807</v>
      </c>
      <c r="H149" s="18" t="s">
        <v>808</v>
      </c>
      <c r="I149" s="18" t="s">
        <v>1083</v>
      </c>
      <c r="J149" s="18" t="s">
        <v>790</v>
      </c>
      <c r="K149" s="18" t="s">
        <v>856</v>
      </c>
      <c r="L149" s="18" t="s">
        <v>857</v>
      </c>
      <c r="M149" s="19">
        <v>0</v>
      </c>
      <c r="N149" s="19">
        <v>734</v>
      </c>
      <c r="O149" s="19">
        <v>0</v>
      </c>
      <c r="P149" s="20">
        <v>734</v>
      </c>
      <c r="Q149" s="19">
        <v>0</v>
      </c>
      <c r="R149" s="19">
        <v>0</v>
      </c>
      <c r="S149" s="19">
        <v>0</v>
      </c>
      <c r="T149" s="19">
        <v>0</v>
      </c>
      <c r="U149" s="18" t="s">
        <v>47</v>
      </c>
      <c r="V149" s="21" t="s">
        <v>1084</v>
      </c>
    </row>
    <row r="150" spans="1:22" ht="18.75">
      <c r="A150" s="17" t="s">
        <v>334</v>
      </c>
      <c r="B150" s="18" t="s">
        <v>335</v>
      </c>
      <c r="C150" s="18" t="s">
        <v>70</v>
      </c>
      <c r="D150" s="18" t="s">
        <v>71</v>
      </c>
      <c r="E150" s="18"/>
      <c r="F150" s="18"/>
      <c r="G150" s="18" t="s">
        <v>1085</v>
      </c>
      <c r="H150" s="18" t="s">
        <v>1086</v>
      </c>
      <c r="I150" s="18" t="s">
        <v>1087</v>
      </c>
      <c r="J150" s="18" t="s">
        <v>790</v>
      </c>
      <c r="K150" s="18" t="s">
        <v>856</v>
      </c>
      <c r="L150" s="18" t="s">
        <v>857</v>
      </c>
      <c r="M150" s="19">
        <v>0</v>
      </c>
      <c r="N150" s="19">
        <v>20</v>
      </c>
      <c r="O150" s="19">
        <v>0</v>
      </c>
      <c r="P150" s="20">
        <v>20</v>
      </c>
      <c r="Q150" s="19">
        <v>0</v>
      </c>
      <c r="R150" s="19">
        <v>0</v>
      </c>
      <c r="S150" s="19">
        <v>0</v>
      </c>
      <c r="T150" s="19">
        <v>0</v>
      </c>
      <c r="U150" s="18" t="s">
        <v>47</v>
      </c>
      <c r="V150" s="21" t="s">
        <v>47</v>
      </c>
    </row>
    <row r="151" spans="1:22" ht="18.75">
      <c r="A151" s="17" t="s">
        <v>338</v>
      </c>
      <c r="B151" s="18" t="s">
        <v>339</v>
      </c>
      <c r="C151" s="18" t="s">
        <v>70</v>
      </c>
      <c r="D151" s="18" t="s">
        <v>71</v>
      </c>
      <c r="E151" s="18"/>
      <c r="F151" s="18"/>
      <c r="G151" s="18" t="s">
        <v>1056</v>
      </c>
      <c r="H151" s="18" t="s">
        <v>1057</v>
      </c>
      <c r="I151" s="18" t="s">
        <v>812</v>
      </c>
      <c r="J151" s="18" t="s">
        <v>790</v>
      </c>
      <c r="K151" s="18" t="s">
        <v>824</v>
      </c>
      <c r="L151" s="18" t="s">
        <v>825</v>
      </c>
      <c r="M151" s="19">
        <v>0</v>
      </c>
      <c r="N151" s="19">
        <v>45</v>
      </c>
      <c r="O151" s="19">
        <v>36</v>
      </c>
      <c r="P151" s="20">
        <v>9</v>
      </c>
      <c r="Q151" s="19">
        <v>0</v>
      </c>
      <c r="R151" s="19">
        <v>0</v>
      </c>
      <c r="S151" s="19">
        <v>0</v>
      </c>
      <c r="T151" s="19">
        <v>0</v>
      </c>
      <c r="U151" s="18" t="s">
        <v>1088</v>
      </c>
      <c r="V151" s="21" t="s">
        <v>993</v>
      </c>
    </row>
    <row r="152" spans="1:22" ht="18.75">
      <c r="A152" s="17" t="s">
        <v>338</v>
      </c>
      <c r="B152" s="18" t="s">
        <v>339</v>
      </c>
      <c r="C152" s="18" t="s">
        <v>70</v>
      </c>
      <c r="D152" s="18" t="s">
        <v>71</v>
      </c>
      <c r="E152" s="18"/>
      <c r="F152" s="18"/>
      <c r="G152" s="18" t="s">
        <v>1056</v>
      </c>
      <c r="H152" s="18" t="s">
        <v>1057</v>
      </c>
      <c r="I152" s="18" t="s">
        <v>812</v>
      </c>
      <c r="J152" s="18" t="s">
        <v>790</v>
      </c>
      <c r="K152" s="18" t="s">
        <v>843</v>
      </c>
      <c r="L152" s="18" t="s">
        <v>844</v>
      </c>
      <c r="M152" s="19">
        <v>0</v>
      </c>
      <c r="N152" s="19">
        <v>65</v>
      </c>
      <c r="O152" s="19">
        <v>50</v>
      </c>
      <c r="P152" s="20">
        <v>15</v>
      </c>
      <c r="Q152" s="19">
        <v>0</v>
      </c>
      <c r="R152" s="19">
        <v>0</v>
      </c>
      <c r="S152" s="19">
        <v>0</v>
      </c>
      <c r="T152" s="19">
        <v>0</v>
      </c>
      <c r="U152" s="18" t="s">
        <v>802</v>
      </c>
      <c r="V152" s="21" t="s">
        <v>993</v>
      </c>
    </row>
    <row r="153" spans="1:22" ht="18.75">
      <c r="A153" s="17" t="s">
        <v>338</v>
      </c>
      <c r="B153" s="18" t="s">
        <v>339</v>
      </c>
      <c r="C153" s="18" t="s">
        <v>70</v>
      </c>
      <c r="D153" s="18" t="s">
        <v>71</v>
      </c>
      <c r="E153" s="18"/>
      <c r="F153" s="18"/>
      <c r="G153" s="18" t="s">
        <v>1056</v>
      </c>
      <c r="H153" s="18" t="s">
        <v>1057</v>
      </c>
      <c r="I153" s="18" t="s">
        <v>812</v>
      </c>
      <c r="J153" s="18" t="s">
        <v>790</v>
      </c>
      <c r="K153" s="18" t="s">
        <v>810</v>
      </c>
      <c r="L153" s="18" t="s">
        <v>811</v>
      </c>
      <c r="M153" s="19">
        <v>0</v>
      </c>
      <c r="N153" s="19">
        <v>1</v>
      </c>
      <c r="O153" s="19">
        <v>0</v>
      </c>
      <c r="P153" s="20">
        <v>1</v>
      </c>
      <c r="Q153" s="19">
        <v>0</v>
      </c>
      <c r="R153" s="19">
        <v>0</v>
      </c>
      <c r="S153" s="19">
        <v>0</v>
      </c>
      <c r="T153" s="19">
        <v>0</v>
      </c>
      <c r="U153" s="18" t="s">
        <v>1071</v>
      </c>
      <c r="V153" s="21" t="s">
        <v>993</v>
      </c>
    </row>
    <row r="154" spans="1:22" ht="18.75">
      <c r="A154" s="17" t="s">
        <v>338</v>
      </c>
      <c r="B154" s="18" t="s">
        <v>339</v>
      </c>
      <c r="C154" s="18" t="s">
        <v>70</v>
      </c>
      <c r="D154" s="18" t="s">
        <v>71</v>
      </c>
      <c r="E154" s="18"/>
      <c r="F154" s="18"/>
      <c r="G154" s="18" t="s">
        <v>1056</v>
      </c>
      <c r="H154" s="18" t="s">
        <v>1057</v>
      </c>
      <c r="I154" s="18" t="s">
        <v>812</v>
      </c>
      <c r="J154" s="18" t="s">
        <v>790</v>
      </c>
      <c r="K154" s="18" t="s">
        <v>791</v>
      </c>
      <c r="L154" s="18" t="s">
        <v>792</v>
      </c>
      <c r="M154" s="19">
        <v>0</v>
      </c>
      <c r="N154" s="19">
        <v>1</v>
      </c>
      <c r="O154" s="19">
        <v>0</v>
      </c>
      <c r="P154" s="20">
        <v>1</v>
      </c>
      <c r="Q154" s="19">
        <v>0</v>
      </c>
      <c r="R154" s="19">
        <v>0</v>
      </c>
      <c r="S154" s="19">
        <v>0</v>
      </c>
      <c r="T154" s="19">
        <v>0</v>
      </c>
      <c r="U154" s="18" t="s">
        <v>953</v>
      </c>
      <c r="V154" s="21" t="s">
        <v>993</v>
      </c>
    </row>
    <row r="155" spans="1:22" ht="18.75">
      <c r="A155" s="17" t="s">
        <v>338</v>
      </c>
      <c r="B155" s="18" t="s">
        <v>339</v>
      </c>
      <c r="C155" s="18" t="s">
        <v>70</v>
      </c>
      <c r="D155" s="18" t="s">
        <v>71</v>
      </c>
      <c r="E155" s="18"/>
      <c r="F155" s="18"/>
      <c r="G155" s="18" t="s">
        <v>973</v>
      </c>
      <c r="H155" s="18" t="s">
        <v>974</v>
      </c>
      <c r="I155" s="18" t="s">
        <v>925</v>
      </c>
      <c r="J155" s="18" t="s">
        <v>790</v>
      </c>
      <c r="K155" s="18" t="s">
        <v>824</v>
      </c>
      <c r="L155" s="18" t="s">
        <v>825</v>
      </c>
      <c r="M155" s="19">
        <v>0</v>
      </c>
      <c r="N155" s="19">
        <v>40</v>
      </c>
      <c r="O155" s="19">
        <v>0</v>
      </c>
      <c r="P155" s="20">
        <v>40</v>
      </c>
      <c r="Q155" s="19">
        <v>0</v>
      </c>
      <c r="R155" s="19">
        <v>0</v>
      </c>
      <c r="S155" s="19">
        <v>0</v>
      </c>
      <c r="T155" s="19">
        <v>0</v>
      </c>
      <c r="U155" s="18" t="s">
        <v>1088</v>
      </c>
      <c r="V155" s="21" t="s">
        <v>1084</v>
      </c>
    </row>
    <row r="156" spans="1:22" ht="18.75">
      <c r="A156" s="17" t="s">
        <v>338</v>
      </c>
      <c r="B156" s="18" t="s">
        <v>339</v>
      </c>
      <c r="C156" s="18" t="s">
        <v>70</v>
      </c>
      <c r="D156" s="18" t="s">
        <v>71</v>
      </c>
      <c r="E156" s="18"/>
      <c r="F156" s="18"/>
      <c r="G156" s="18" t="s">
        <v>973</v>
      </c>
      <c r="H156" s="18" t="s">
        <v>974</v>
      </c>
      <c r="I156" s="18" t="s">
        <v>925</v>
      </c>
      <c r="J156" s="18" t="s">
        <v>790</v>
      </c>
      <c r="K156" s="18" t="s">
        <v>828</v>
      </c>
      <c r="L156" s="18" t="s">
        <v>829</v>
      </c>
      <c r="M156" s="19">
        <v>0</v>
      </c>
      <c r="N156" s="19">
        <v>65</v>
      </c>
      <c r="O156" s="19">
        <v>22</v>
      </c>
      <c r="P156" s="20">
        <v>43</v>
      </c>
      <c r="Q156" s="19">
        <v>0</v>
      </c>
      <c r="R156" s="19">
        <v>0</v>
      </c>
      <c r="S156" s="19">
        <v>0</v>
      </c>
      <c r="T156" s="19">
        <v>0</v>
      </c>
      <c r="U156" s="18" t="s">
        <v>47</v>
      </c>
      <c r="V156" s="21" t="s">
        <v>1084</v>
      </c>
    </row>
    <row r="157" spans="1:22" ht="18.75">
      <c r="A157" s="17" t="s">
        <v>338</v>
      </c>
      <c r="B157" s="18" t="s">
        <v>339</v>
      </c>
      <c r="C157" s="18" t="s">
        <v>70</v>
      </c>
      <c r="D157" s="18" t="s">
        <v>71</v>
      </c>
      <c r="E157" s="18"/>
      <c r="F157" s="18"/>
      <c r="G157" s="18" t="s">
        <v>973</v>
      </c>
      <c r="H157" s="18" t="s">
        <v>974</v>
      </c>
      <c r="I157" s="18" t="s">
        <v>925</v>
      </c>
      <c r="J157" s="18" t="s">
        <v>790</v>
      </c>
      <c r="K157" s="18" t="s">
        <v>856</v>
      </c>
      <c r="L157" s="18" t="s">
        <v>857</v>
      </c>
      <c r="M157" s="19">
        <v>0</v>
      </c>
      <c r="N157" s="19">
        <v>145</v>
      </c>
      <c r="O157" s="19">
        <v>105</v>
      </c>
      <c r="P157" s="20">
        <v>40</v>
      </c>
      <c r="Q157" s="19">
        <v>0</v>
      </c>
      <c r="R157" s="19">
        <v>0</v>
      </c>
      <c r="S157" s="19">
        <v>0</v>
      </c>
      <c r="T157" s="19">
        <v>0</v>
      </c>
      <c r="U157" s="18" t="s">
        <v>1084</v>
      </c>
      <c r="V157" s="21" t="s">
        <v>1084</v>
      </c>
    </row>
    <row r="158" spans="1:22" ht="18.75">
      <c r="A158" s="17" t="s">
        <v>342</v>
      </c>
      <c r="B158" s="18" t="s">
        <v>343</v>
      </c>
      <c r="C158" s="18" t="s">
        <v>70</v>
      </c>
      <c r="D158" s="18" t="s">
        <v>71</v>
      </c>
      <c r="E158" s="18"/>
      <c r="F158" s="18"/>
      <c r="G158" s="18" t="s">
        <v>1089</v>
      </c>
      <c r="H158" s="18" t="s">
        <v>1090</v>
      </c>
      <c r="I158" s="18" t="s">
        <v>1091</v>
      </c>
      <c r="J158" s="18" t="s">
        <v>790</v>
      </c>
      <c r="K158" s="18" t="s">
        <v>791</v>
      </c>
      <c r="L158" s="18" t="s">
        <v>792</v>
      </c>
      <c r="M158" s="19">
        <v>0</v>
      </c>
      <c r="N158" s="19">
        <v>1</v>
      </c>
      <c r="O158" s="19">
        <v>0</v>
      </c>
      <c r="P158" s="20">
        <v>1</v>
      </c>
      <c r="Q158" s="19">
        <v>0</v>
      </c>
      <c r="R158" s="19">
        <v>0</v>
      </c>
      <c r="S158" s="19">
        <v>0</v>
      </c>
      <c r="T158" s="19">
        <v>0</v>
      </c>
      <c r="U158" s="18" t="s">
        <v>911</v>
      </c>
      <c r="V158" s="21" t="s">
        <v>820</v>
      </c>
    </row>
    <row r="159" spans="1:22" ht="18.75">
      <c r="A159" s="17" t="s">
        <v>342</v>
      </c>
      <c r="B159" s="18" t="s">
        <v>343</v>
      </c>
      <c r="C159" s="18" t="s">
        <v>70</v>
      </c>
      <c r="D159" s="18" t="s">
        <v>71</v>
      </c>
      <c r="E159" s="18"/>
      <c r="F159" s="18"/>
      <c r="G159" s="18" t="s">
        <v>1002</v>
      </c>
      <c r="H159" s="18" t="s">
        <v>1003</v>
      </c>
      <c r="I159" s="18" t="s">
        <v>1004</v>
      </c>
      <c r="J159" s="18" t="s">
        <v>790</v>
      </c>
      <c r="K159" s="18" t="s">
        <v>810</v>
      </c>
      <c r="L159" s="18" t="s">
        <v>811</v>
      </c>
      <c r="M159" s="19">
        <v>0</v>
      </c>
      <c r="N159" s="19">
        <v>2</v>
      </c>
      <c r="O159" s="19">
        <v>0</v>
      </c>
      <c r="P159" s="20">
        <v>2</v>
      </c>
      <c r="Q159" s="19">
        <v>0</v>
      </c>
      <c r="R159" s="19">
        <v>0</v>
      </c>
      <c r="S159" s="19">
        <v>0</v>
      </c>
      <c r="T159" s="19">
        <v>0</v>
      </c>
      <c r="U159" s="18" t="s">
        <v>47</v>
      </c>
      <c r="V159" s="21" t="s">
        <v>993</v>
      </c>
    </row>
    <row r="160" spans="1:22" ht="18.75">
      <c r="A160" s="17" t="s">
        <v>342</v>
      </c>
      <c r="B160" s="18" t="s">
        <v>343</v>
      </c>
      <c r="C160" s="18" t="s">
        <v>70</v>
      </c>
      <c r="D160" s="18" t="s">
        <v>71</v>
      </c>
      <c r="E160" s="18"/>
      <c r="F160" s="18"/>
      <c r="G160" s="18" t="s">
        <v>1092</v>
      </c>
      <c r="H160" s="18" t="s">
        <v>1093</v>
      </c>
      <c r="I160" s="18" t="s">
        <v>905</v>
      </c>
      <c r="J160" s="18" t="s">
        <v>790</v>
      </c>
      <c r="K160" s="18" t="s">
        <v>837</v>
      </c>
      <c r="L160" s="18" t="s">
        <v>838</v>
      </c>
      <c r="M160" s="19">
        <v>0</v>
      </c>
      <c r="N160" s="19">
        <v>240</v>
      </c>
      <c r="O160" s="19">
        <v>120</v>
      </c>
      <c r="P160" s="20">
        <v>120</v>
      </c>
      <c r="Q160" s="19">
        <v>0</v>
      </c>
      <c r="R160" s="19">
        <v>0</v>
      </c>
      <c r="S160" s="19">
        <v>0</v>
      </c>
      <c r="T160" s="19">
        <v>0</v>
      </c>
      <c r="U160" s="18" t="s">
        <v>47</v>
      </c>
      <c r="V160" s="21" t="s">
        <v>917</v>
      </c>
    </row>
    <row r="161" spans="1:22" ht="18.75">
      <c r="A161" s="17" t="s">
        <v>342</v>
      </c>
      <c r="B161" s="18" t="s">
        <v>343</v>
      </c>
      <c r="C161" s="18" t="s">
        <v>70</v>
      </c>
      <c r="D161" s="18" t="s">
        <v>71</v>
      </c>
      <c r="E161" s="18"/>
      <c r="F161" s="18"/>
      <c r="G161" s="18" t="s">
        <v>1092</v>
      </c>
      <c r="H161" s="18" t="s">
        <v>1093</v>
      </c>
      <c r="I161" s="18" t="s">
        <v>905</v>
      </c>
      <c r="J161" s="18" t="s">
        <v>790</v>
      </c>
      <c r="K161" s="18" t="s">
        <v>828</v>
      </c>
      <c r="L161" s="18" t="s">
        <v>829</v>
      </c>
      <c r="M161" s="19">
        <v>0</v>
      </c>
      <c r="N161" s="19">
        <v>474</v>
      </c>
      <c r="O161" s="19">
        <v>398</v>
      </c>
      <c r="P161" s="20">
        <v>76</v>
      </c>
      <c r="Q161" s="19">
        <v>0</v>
      </c>
      <c r="R161" s="19">
        <v>0</v>
      </c>
      <c r="S161" s="19">
        <v>0</v>
      </c>
      <c r="T161" s="19">
        <v>0</v>
      </c>
      <c r="U161" s="18" t="s">
        <v>47</v>
      </c>
      <c r="V161" s="21" t="s">
        <v>917</v>
      </c>
    </row>
    <row r="162" spans="1:22" ht="18.75">
      <c r="A162" s="17" t="s">
        <v>342</v>
      </c>
      <c r="B162" s="18" t="s">
        <v>343</v>
      </c>
      <c r="C162" s="18" t="s">
        <v>70</v>
      </c>
      <c r="D162" s="18" t="s">
        <v>71</v>
      </c>
      <c r="E162" s="18"/>
      <c r="F162" s="18"/>
      <c r="G162" s="18" t="s">
        <v>1092</v>
      </c>
      <c r="H162" s="18" t="s">
        <v>1093</v>
      </c>
      <c r="I162" s="18" t="s">
        <v>905</v>
      </c>
      <c r="J162" s="18" t="s">
        <v>790</v>
      </c>
      <c r="K162" s="18" t="s">
        <v>840</v>
      </c>
      <c r="L162" s="18" t="s">
        <v>841</v>
      </c>
      <c r="M162" s="19">
        <v>0</v>
      </c>
      <c r="N162" s="19">
        <v>564</v>
      </c>
      <c r="O162" s="19">
        <v>480</v>
      </c>
      <c r="P162" s="20">
        <v>84</v>
      </c>
      <c r="Q162" s="19">
        <v>0</v>
      </c>
      <c r="R162" s="19">
        <v>0</v>
      </c>
      <c r="S162" s="19">
        <v>0</v>
      </c>
      <c r="T162" s="19">
        <v>0</v>
      </c>
      <c r="U162" s="18" t="s">
        <v>842</v>
      </c>
      <c r="V162" s="21" t="s">
        <v>917</v>
      </c>
    </row>
    <row r="163" spans="1:22" ht="18.75">
      <c r="A163" s="17" t="s">
        <v>342</v>
      </c>
      <c r="B163" s="18" t="s">
        <v>343</v>
      </c>
      <c r="C163" s="18" t="s">
        <v>70</v>
      </c>
      <c r="D163" s="18" t="s">
        <v>71</v>
      </c>
      <c r="E163" s="18"/>
      <c r="F163" s="18"/>
      <c r="G163" s="18" t="s">
        <v>1092</v>
      </c>
      <c r="H163" s="18" t="s">
        <v>1093</v>
      </c>
      <c r="I163" s="18" t="s">
        <v>905</v>
      </c>
      <c r="J163" s="18" t="s">
        <v>790</v>
      </c>
      <c r="K163" s="18" t="s">
        <v>906</v>
      </c>
      <c r="L163" s="18" t="s">
        <v>907</v>
      </c>
      <c r="M163" s="19">
        <v>0</v>
      </c>
      <c r="N163" s="19">
        <v>240</v>
      </c>
      <c r="O163" s="19">
        <v>160</v>
      </c>
      <c r="P163" s="20">
        <v>80</v>
      </c>
      <c r="Q163" s="19">
        <v>0</v>
      </c>
      <c r="R163" s="19">
        <v>0</v>
      </c>
      <c r="S163" s="19">
        <v>0</v>
      </c>
      <c r="T163" s="19">
        <v>0</v>
      </c>
      <c r="U163" s="18" t="s">
        <v>47</v>
      </c>
      <c r="V163" s="21" t="s">
        <v>917</v>
      </c>
    </row>
    <row r="164" spans="1:22" ht="18.75">
      <c r="A164" s="17" t="s">
        <v>342</v>
      </c>
      <c r="B164" s="18" t="s">
        <v>343</v>
      </c>
      <c r="C164" s="18" t="s">
        <v>70</v>
      </c>
      <c r="D164" s="18" t="s">
        <v>71</v>
      </c>
      <c r="E164" s="18"/>
      <c r="F164" s="18"/>
      <c r="G164" s="18" t="s">
        <v>1092</v>
      </c>
      <c r="H164" s="18" t="s">
        <v>1093</v>
      </c>
      <c r="I164" s="18" t="s">
        <v>905</v>
      </c>
      <c r="J164" s="18" t="s">
        <v>790</v>
      </c>
      <c r="K164" s="18" t="s">
        <v>810</v>
      </c>
      <c r="L164" s="18" t="s">
        <v>811</v>
      </c>
      <c r="M164" s="19">
        <v>0</v>
      </c>
      <c r="N164" s="19">
        <v>6</v>
      </c>
      <c r="O164" s="19">
        <v>0</v>
      </c>
      <c r="P164" s="20">
        <v>6</v>
      </c>
      <c r="Q164" s="19">
        <v>0</v>
      </c>
      <c r="R164" s="19">
        <v>0</v>
      </c>
      <c r="S164" s="19">
        <v>0</v>
      </c>
      <c r="T164" s="19">
        <v>0</v>
      </c>
      <c r="U164" s="18" t="s">
        <v>47</v>
      </c>
      <c r="V164" s="21" t="s">
        <v>917</v>
      </c>
    </row>
    <row r="165" spans="1:22" ht="18.75">
      <c r="A165" s="17" t="s">
        <v>342</v>
      </c>
      <c r="B165" s="18" t="s">
        <v>343</v>
      </c>
      <c r="C165" s="18" t="s">
        <v>70</v>
      </c>
      <c r="D165" s="18" t="s">
        <v>71</v>
      </c>
      <c r="E165" s="18"/>
      <c r="F165" s="18"/>
      <c r="G165" s="18" t="s">
        <v>1016</v>
      </c>
      <c r="H165" s="18" t="s">
        <v>1017</v>
      </c>
      <c r="I165" s="18" t="s">
        <v>1018</v>
      </c>
      <c r="J165" s="18" t="s">
        <v>790</v>
      </c>
      <c r="K165" s="18" t="s">
        <v>824</v>
      </c>
      <c r="L165" s="18" t="s">
        <v>825</v>
      </c>
      <c r="M165" s="19">
        <v>0</v>
      </c>
      <c r="N165" s="19">
        <v>661</v>
      </c>
      <c r="O165" s="19">
        <v>310</v>
      </c>
      <c r="P165" s="20">
        <v>351</v>
      </c>
      <c r="Q165" s="19">
        <v>0</v>
      </c>
      <c r="R165" s="19">
        <v>0</v>
      </c>
      <c r="S165" s="19">
        <v>0</v>
      </c>
      <c r="T165" s="19">
        <v>0</v>
      </c>
      <c r="U165" s="18" t="s">
        <v>1088</v>
      </c>
      <c r="V165" s="21" t="s">
        <v>879</v>
      </c>
    </row>
    <row r="166" spans="1:22" ht="18.75">
      <c r="A166" s="17" t="s">
        <v>342</v>
      </c>
      <c r="B166" s="18" t="s">
        <v>343</v>
      </c>
      <c r="C166" s="18" t="s">
        <v>70</v>
      </c>
      <c r="D166" s="18" t="s">
        <v>71</v>
      </c>
      <c r="E166" s="18"/>
      <c r="F166" s="18"/>
      <c r="G166" s="18" t="s">
        <v>1016</v>
      </c>
      <c r="H166" s="18" t="s">
        <v>1017</v>
      </c>
      <c r="I166" s="18" t="s">
        <v>1018</v>
      </c>
      <c r="J166" s="18" t="s">
        <v>790</v>
      </c>
      <c r="K166" s="18" t="s">
        <v>843</v>
      </c>
      <c r="L166" s="18" t="s">
        <v>844</v>
      </c>
      <c r="M166" s="19">
        <v>0</v>
      </c>
      <c r="N166" s="19">
        <v>160</v>
      </c>
      <c r="O166" s="19">
        <v>35</v>
      </c>
      <c r="P166" s="20">
        <v>125</v>
      </c>
      <c r="Q166" s="19">
        <v>0</v>
      </c>
      <c r="R166" s="19">
        <v>0</v>
      </c>
      <c r="S166" s="19">
        <v>0</v>
      </c>
      <c r="T166" s="19">
        <v>0</v>
      </c>
      <c r="U166" s="18" t="s">
        <v>954</v>
      </c>
      <c r="V166" s="21" t="s">
        <v>879</v>
      </c>
    </row>
    <row r="167" spans="1:22" ht="18.75">
      <c r="A167" s="17" t="s">
        <v>342</v>
      </c>
      <c r="B167" s="18" t="s">
        <v>343</v>
      </c>
      <c r="C167" s="18" t="s">
        <v>70</v>
      </c>
      <c r="D167" s="18" t="s">
        <v>71</v>
      </c>
      <c r="E167" s="18"/>
      <c r="F167" s="18"/>
      <c r="G167" s="18" t="s">
        <v>973</v>
      </c>
      <c r="H167" s="18" t="s">
        <v>974</v>
      </c>
      <c r="I167" s="18" t="s">
        <v>925</v>
      </c>
      <c r="J167" s="18" t="s">
        <v>790</v>
      </c>
      <c r="K167" s="18" t="s">
        <v>856</v>
      </c>
      <c r="L167" s="18" t="s">
        <v>857</v>
      </c>
      <c r="M167" s="19">
        <v>0</v>
      </c>
      <c r="N167" s="19">
        <v>130</v>
      </c>
      <c r="O167" s="19">
        <v>0</v>
      </c>
      <c r="P167" s="20">
        <v>130</v>
      </c>
      <c r="Q167" s="19">
        <v>0</v>
      </c>
      <c r="R167" s="19">
        <v>0</v>
      </c>
      <c r="S167" s="19">
        <v>0</v>
      </c>
      <c r="T167" s="19">
        <v>0</v>
      </c>
      <c r="U167" s="18" t="s">
        <v>47</v>
      </c>
      <c r="V167" s="21" t="s">
        <v>1071</v>
      </c>
    </row>
    <row r="168" spans="1:22" ht="18.75">
      <c r="A168" s="17" t="s">
        <v>342</v>
      </c>
      <c r="B168" s="18" t="s">
        <v>343</v>
      </c>
      <c r="C168" s="18" t="s">
        <v>70</v>
      </c>
      <c r="D168" s="18" t="s">
        <v>71</v>
      </c>
      <c r="E168" s="18"/>
      <c r="F168" s="18"/>
      <c r="G168" s="18" t="s">
        <v>1085</v>
      </c>
      <c r="H168" s="18" t="s">
        <v>1086</v>
      </c>
      <c r="I168" s="18" t="s">
        <v>1087</v>
      </c>
      <c r="J168" s="18" t="s">
        <v>790</v>
      </c>
      <c r="K168" s="18" t="s">
        <v>856</v>
      </c>
      <c r="L168" s="18" t="s">
        <v>857</v>
      </c>
      <c r="M168" s="19">
        <v>0</v>
      </c>
      <c r="N168" s="19">
        <v>400</v>
      </c>
      <c r="O168" s="19">
        <v>0</v>
      </c>
      <c r="P168" s="20">
        <v>400</v>
      </c>
      <c r="Q168" s="19">
        <v>0</v>
      </c>
      <c r="R168" s="19">
        <v>0</v>
      </c>
      <c r="S168" s="19">
        <v>0</v>
      </c>
      <c r="T168" s="19">
        <v>0</v>
      </c>
      <c r="U168" s="18" t="s">
        <v>47</v>
      </c>
      <c r="V168" s="21" t="s">
        <v>1088</v>
      </c>
    </row>
    <row r="169" spans="1:22" ht="18.75">
      <c r="A169" s="17" t="s">
        <v>350</v>
      </c>
      <c r="B169" s="18" t="s">
        <v>351</v>
      </c>
      <c r="C169" s="18" t="s">
        <v>70</v>
      </c>
      <c r="D169" s="18" t="s">
        <v>71</v>
      </c>
      <c r="E169" s="18"/>
      <c r="F169" s="18"/>
      <c r="G169" s="18" t="s">
        <v>1094</v>
      </c>
      <c r="H169" s="18" t="s">
        <v>1095</v>
      </c>
      <c r="I169" s="18"/>
      <c r="J169" s="18" t="s">
        <v>790</v>
      </c>
      <c r="K169" s="18" t="s">
        <v>843</v>
      </c>
      <c r="L169" s="18" t="s">
        <v>844</v>
      </c>
      <c r="M169" s="19">
        <v>0</v>
      </c>
      <c r="N169" s="19">
        <v>50</v>
      </c>
      <c r="O169" s="19">
        <v>32</v>
      </c>
      <c r="P169" s="20">
        <v>18</v>
      </c>
      <c r="Q169" s="19">
        <v>0</v>
      </c>
      <c r="R169" s="19">
        <v>0</v>
      </c>
      <c r="S169" s="19">
        <v>0</v>
      </c>
      <c r="T169" s="19">
        <v>0</v>
      </c>
      <c r="U169" s="18" t="s">
        <v>917</v>
      </c>
      <c r="V169" s="21" t="s">
        <v>1096</v>
      </c>
    </row>
    <row r="170" spans="1:22" ht="18.75">
      <c r="A170" s="17" t="s">
        <v>350</v>
      </c>
      <c r="B170" s="18" t="s">
        <v>351</v>
      </c>
      <c r="C170" s="18" t="s">
        <v>70</v>
      </c>
      <c r="D170" s="18" t="s">
        <v>71</v>
      </c>
      <c r="E170" s="18"/>
      <c r="F170" s="18"/>
      <c r="G170" s="18" t="s">
        <v>1089</v>
      </c>
      <c r="H170" s="18" t="s">
        <v>1090</v>
      </c>
      <c r="I170" s="18" t="s">
        <v>1091</v>
      </c>
      <c r="J170" s="18" t="s">
        <v>790</v>
      </c>
      <c r="K170" s="18" t="s">
        <v>824</v>
      </c>
      <c r="L170" s="18" t="s">
        <v>825</v>
      </c>
      <c r="M170" s="19">
        <v>0</v>
      </c>
      <c r="N170" s="19">
        <v>130</v>
      </c>
      <c r="O170" s="19">
        <v>112</v>
      </c>
      <c r="P170" s="20">
        <v>18</v>
      </c>
      <c r="Q170" s="19">
        <v>0</v>
      </c>
      <c r="R170" s="19">
        <v>0</v>
      </c>
      <c r="S170" s="19">
        <v>0</v>
      </c>
      <c r="T170" s="19">
        <v>0</v>
      </c>
      <c r="U170" s="18" t="s">
        <v>1068</v>
      </c>
      <c r="V170" s="21" t="s">
        <v>1079</v>
      </c>
    </row>
    <row r="171" spans="1:22" ht="18.75">
      <c r="A171" s="17" t="s">
        <v>350</v>
      </c>
      <c r="B171" s="18" t="s">
        <v>351</v>
      </c>
      <c r="C171" s="18" t="s">
        <v>70</v>
      </c>
      <c r="D171" s="18" t="s">
        <v>71</v>
      </c>
      <c r="E171" s="18"/>
      <c r="F171" s="18"/>
      <c r="G171" s="18" t="s">
        <v>971</v>
      </c>
      <c r="H171" s="18" t="s">
        <v>972</v>
      </c>
      <c r="I171" s="18" t="s">
        <v>850</v>
      </c>
      <c r="J171" s="18" t="s">
        <v>790</v>
      </c>
      <c r="K171" s="18" t="s">
        <v>828</v>
      </c>
      <c r="L171" s="18" t="s">
        <v>829</v>
      </c>
      <c r="M171" s="19">
        <v>0</v>
      </c>
      <c r="N171" s="19">
        <v>50</v>
      </c>
      <c r="O171" s="19">
        <v>47</v>
      </c>
      <c r="P171" s="20">
        <v>3</v>
      </c>
      <c r="Q171" s="19">
        <v>0</v>
      </c>
      <c r="R171" s="19">
        <v>0</v>
      </c>
      <c r="S171" s="19">
        <v>0</v>
      </c>
      <c r="T171" s="19">
        <v>0</v>
      </c>
      <c r="U171" s="18" t="s">
        <v>47</v>
      </c>
      <c r="V171" s="21" t="s">
        <v>863</v>
      </c>
    </row>
    <row r="172" spans="1:22" ht="18.75">
      <c r="A172" s="17" t="s">
        <v>350</v>
      </c>
      <c r="B172" s="18" t="s">
        <v>351</v>
      </c>
      <c r="C172" s="18" t="s">
        <v>70</v>
      </c>
      <c r="D172" s="18" t="s">
        <v>71</v>
      </c>
      <c r="E172" s="18"/>
      <c r="F172" s="18"/>
      <c r="G172" s="18" t="s">
        <v>971</v>
      </c>
      <c r="H172" s="18" t="s">
        <v>972</v>
      </c>
      <c r="I172" s="18" t="s">
        <v>850</v>
      </c>
      <c r="J172" s="18" t="s">
        <v>790</v>
      </c>
      <c r="K172" s="18" t="s">
        <v>843</v>
      </c>
      <c r="L172" s="18" t="s">
        <v>844</v>
      </c>
      <c r="M172" s="19">
        <v>0</v>
      </c>
      <c r="N172" s="19">
        <v>20</v>
      </c>
      <c r="O172" s="19">
        <v>3</v>
      </c>
      <c r="P172" s="20">
        <v>17</v>
      </c>
      <c r="Q172" s="19">
        <v>0</v>
      </c>
      <c r="R172" s="19">
        <v>0</v>
      </c>
      <c r="S172" s="19">
        <v>0</v>
      </c>
      <c r="T172" s="19">
        <v>0</v>
      </c>
      <c r="U172" s="18" t="s">
        <v>917</v>
      </c>
      <c r="V172" s="21" t="s">
        <v>863</v>
      </c>
    </row>
    <row r="173" spans="1:22" ht="18.75">
      <c r="A173" s="17" t="s">
        <v>350</v>
      </c>
      <c r="B173" s="18" t="s">
        <v>351</v>
      </c>
      <c r="C173" s="18" t="s">
        <v>70</v>
      </c>
      <c r="D173" s="18" t="s">
        <v>71</v>
      </c>
      <c r="E173" s="18"/>
      <c r="F173" s="18"/>
      <c r="G173" s="18" t="s">
        <v>941</v>
      </c>
      <c r="H173" s="18" t="s">
        <v>942</v>
      </c>
      <c r="I173" s="18" t="s">
        <v>1097</v>
      </c>
      <c r="J173" s="18" t="s">
        <v>790</v>
      </c>
      <c r="K173" s="18" t="s">
        <v>828</v>
      </c>
      <c r="L173" s="18" t="s">
        <v>829</v>
      </c>
      <c r="M173" s="19">
        <v>0</v>
      </c>
      <c r="N173" s="19">
        <v>5</v>
      </c>
      <c r="O173" s="19">
        <v>0</v>
      </c>
      <c r="P173" s="20">
        <v>5</v>
      </c>
      <c r="Q173" s="19">
        <v>0</v>
      </c>
      <c r="R173" s="19">
        <v>0</v>
      </c>
      <c r="S173" s="19">
        <v>0</v>
      </c>
      <c r="T173" s="19">
        <v>0</v>
      </c>
      <c r="U173" s="18" t="s">
        <v>47</v>
      </c>
      <c r="V173" s="21" t="s">
        <v>1071</v>
      </c>
    </row>
    <row r="174" spans="1:22" ht="18.75">
      <c r="A174" s="17" t="s">
        <v>350</v>
      </c>
      <c r="B174" s="18" t="s">
        <v>351</v>
      </c>
      <c r="C174" s="18" t="s">
        <v>70</v>
      </c>
      <c r="D174" s="18" t="s">
        <v>71</v>
      </c>
      <c r="E174" s="18"/>
      <c r="F174" s="18"/>
      <c r="G174" s="18" t="s">
        <v>1098</v>
      </c>
      <c r="H174" s="18" t="s">
        <v>1099</v>
      </c>
      <c r="I174" s="18" t="s">
        <v>993</v>
      </c>
      <c r="J174" s="18" t="s">
        <v>790</v>
      </c>
      <c r="K174" s="18" t="s">
        <v>828</v>
      </c>
      <c r="L174" s="18" t="s">
        <v>829</v>
      </c>
      <c r="M174" s="19">
        <v>0</v>
      </c>
      <c r="N174" s="19">
        <v>50</v>
      </c>
      <c r="O174" s="19">
        <v>0</v>
      </c>
      <c r="P174" s="20">
        <v>50</v>
      </c>
      <c r="Q174" s="19">
        <v>0</v>
      </c>
      <c r="R174" s="19">
        <v>0</v>
      </c>
      <c r="S174" s="19">
        <v>0</v>
      </c>
      <c r="T174" s="19">
        <v>0</v>
      </c>
      <c r="U174" s="18" t="s">
        <v>47</v>
      </c>
      <c r="V174" s="21" t="s">
        <v>1084</v>
      </c>
    </row>
    <row r="175" spans="1:22" ht="18.75">
      <c r="A175" s="17" t="s">
        <v>350</v>
      </c>
      <c r="B175" s="18" t="s">
        <v>351</v>
      </c>
      <c r="C175" s="18" t="s">
        <v>70</v>
      </c>
      <c r="D175" s="18" t="s">
        <v>71</v>
      </c>
      <c r="E175" s="18"/>
      <c r="F175" s="18"/>
      <c r="G175" s="18" t="s">
        <v>1098</v>
      </c>
      <c r="H175" s="18" t="s">
        <v>1099</v>
      </c>
      <c r="I175" s="18" t="s">
        <v>993</v>
      </c>
      <c r="J175" s="18" t="s">
        <v>790</v>
      </c>
      <c r="K175" s="18" t="s">
        <v>856</v>
      </c>
      <c r="L175" s="18" t="s">
        <v>857</v>
      </c>
      <c r="M175" s="19">
        <v>0</v>
      </c>
      <c r="N175" s="19">
        <v>130</v>
      </c>
      <c r="O175" s="19">
        <v>50</v>
      </c>
      <c r="P175" s="20">
        <v>80</v>
      </c>
      <c r="Q175" s="19">
        <v>0</v>
      </c>
      <c r="R175" s="19">
        <v>0</v>
      </c>
      <c r="S175" s="19">
        <v>0</v>
      </c>
      <c r="T175" s="19">
        <v>0</v>
      </c>
      <c r="U175" s="18" t="s">
        <v>1084</v>
      </c>
      <c r="V175" s="21" t="s">
        <v>1084</v>
      </c>
    </row>
    <row r="176" spans="1:22" ht="18.75">
      <c r="A176" s="17" t="s">
        <v>354</v>
      </c>
      <c r="B176" s="18" t="s">
        <v>355</v>
      </c>
      <c r="C176" s="18" t="s">
        <v>70</v>
      </c>
      <c r="D176" s="18" t="s">
        <v>71</v>
      </c>
      <c r="E176" s="18"/>
      <c r="F176" s="18"/>
      <c r="G176" s="18" t="s">
        <v>1080</v>
      </c>
      <c r="H176" s="18" t="s">
        <v>1081</v>
      </c>
      <c r="I176" s="18" t="s">
        <v>827</v>
      </c>
      <c r="J176" s="18" t="s">
        <v>790</v>
      </c>
      <c r="K176" s="18" t="s">
        <v>824</v>
      </c>
      <c r="L176" s="18" t="s">
        <v>825</v>
      </c>
      <c r="M176" s="19">
        <v>0</v>
      </c>
      <c r="N176" s="19">
        <v>40</v>
      </c>
      <c r="O176" s="19">
        <v>39</v>
      </c>
      <c r="P176" s="20">
        <v>1</v>
      </c>
      <c r="Q176" s="19">
        <v>0</v>
      </c>
      <c r="R176" s="19">
        <v>0</v>
      </c>
      <c r="S176" s="19">
        <v>0</v>
      </c>
      <c r="T176" s="19">
        <v>0</v>
      </c>
      <c r="U176" s="18" t="s">
        <v>871</v>
      </c>
      <c r="V176" s="21" t="s">
        <v>1071</v>
      </c>
    </row>
    <row r="177" spans="1:22" ht="18.75">
      <c r="A177" s="17" t="s">
        <v>354</v>
      </c>
      <c r="B177" s="18" t="s">
        <v>355</v>
      </c>
      <c r="C177" s="18" t="s">
        <v>70</v>
      </c>
      <c r="D177" s="18" t="s">
        <v>71</v>
      </c>
      <c r="E177" s="18"/>
      <c r="F177" s="18"/>
      <c r="G177" s="18" t="s">
        <v>1080</v>
      </c>
      <c r="H177" s="18" t="s">
        <v>1081</v>
      </c>
      <c r="I177" s="18" t="s">
        <v>827</v>
      </c>
      <c r="J177" s="18" t="s">
        <v>790</v>
      </c>
      <c r="K177" s="18" t="s">
        <v>981</v>
      </c>
      <c r="L177" s="18" t="s">
        <v>982</v>
      </c>
      <c r="M177" s="19">
        <v>0</v>
      </c>
      <c r="N177" s="19">
        <v>19</v>
      </c>
      <c r="O177" s="22">
        <v>6.1539999999999999</v>
      </c>
      <c r="P177" s="24">
        <v>12.846</v>
      </c>
      <c r="Q177" s="19">
        <v>0</v>
      </c>
      <c r="R177" s="19">
        <v>0</v>
      </c>
      <c r="S177" s="19">
        <v>0</v>
      </c>
      <c r="T177" s="19">
        <v>0</v>
      </c>
      <c r="U177" s="18" t="s">
        <v>874</v>
      </c>
      <c r="V177" s="21" t="s">
        <v>1071</v>
      </c>
    </row>
    <row r="178" spans="1:22" ht="18.75">
      <c r="A178" s="17" t="s">
        <v>354</v>
      </c>
      <c r="B178" s="18" t="s">
        <v>355</v>
      </c>
      <c r="C178" s="18" t="s">
        <v>70</v>
      </c>
      <c r="D178" s="18" t="s">
        <v>71</v>
      </c>
      <c r="E178" s="18"/>
      <c r="F178" s="18"/>
      <c r="G178" s="18" t="s">
        <v>1080</v>
      </c>
      <c r="H178" s="18" t="s">
        <v>1081</v>
      </c>
      <c r="I178" s="18" t="s">
        <v>827</v>
      </c>
      <c r="J178" s="18" t="s">
        <v>790</v>
      </c>
      <c r="K178" s="18" t="s">
        <v>843</v>
      </c>
      <c r="L178" s="18" t="s">
        <v>844</v>
      </c>
      <c r="M178" s="19">
        <v>0</v>
      </c>
      <c r="N178" s="19">
        <v>60</v>
      </c>
      <c r="O178" s="19">
        <v>55</v>
      </c>
      <c r="P178" s="20">
        <v>5</v>
      </c>
      <c r="Q178" s="19">
        <v>0</v>
      </c>
      <c r="R178" s="19">
        <v>0</v>
      </c>
      <c r="S178" s="19">
        <v>0</v>
      </c>
      <c r="T178" s="19">
        <v>0</v>
      </c>
      <c r="U178" s="18" t="s">
        <v>47</v>
      </c>
      <c r="V178" s="21" t="s">
        <v>1071</v>
      </c>
    </row>
    <row r="179" spans="1:22" ht="18.75">
      <c r="A179" s="17" t="s">
        <v>354</v>
      </c>
      <c r="B179" s="18" t="s">
        <v>355</v>
      </c>
      <c r="C179" s="18" t="s">
        <v>70</v>
      </c>
      <c r="D179" s="18" t="s">
        <v>71</v>
      </c>
      <c r="E179" s="18"/>
      <c r="F179" s="18"/>
      <c r="G179" s="18" t="s">
        <v>891</v>
      </c>
      <c r="H179" s="18" t="s">
        <v>892</v>
      </c>
      <c r="I179" s="18" t="s">
        <v>875</v>
      </c>
      <c r="J179" s="18" t="s">
        <v>790</v>
      </c>
      <c r="K179" s="18" t="s">
        <v>824</v>
      </c>
      <c r="L179" s="18" t="s">
        <v>825</v>
      </c>
      <c r="M179" s="19">
        <v>0</v>
      </c>
      <c r="N179" s="19">
        <v>10</v>
      </c>
      <c r="O179" s="19">
        <v>0</v>
      </c>
      <c r="P179" s="20">
        <v>10</v>
      </c>
      <c r="Q179" s="19">
        <v>0</v>
      </c>
      <c r="R179" s="19">
        <v>0</v>
      </c>
      <c r="S179" s="19">
        <v>0</v>
      </c>
      <c r="T179" s="19">
        <v>0</v>
      </c>
      <c r="U179" s="18" t="s">
        <v>871</v>
      </c>
      <c r="V179" s="21" t="s">
        <v>1084</v>
      </c>
    </row>
    <row r="180" spans="1:22" ht="18.75">
      <c r="A180" s="17" t="s">
        <v>354</v>
      </c>
      <c r="B180" s="18" t="s">
        <v>355</v>
      </c>
      <c r="C180" s="18" t="s">
        <v>70</v>
      </c>
      <c r="D180" s="18" t="s">
        <v>71</v>
      </c>
      <c r="E180" s="18"/>
      <c r="F180" s="18"/>
      <c r="G180" s="18" t="s">
        <v>891</v>
      </c>
      <c r="H180" s="18" t="s">
        <v>892</v>
      </c>
      <c r="I180" s="18" t="s">
        <v>875</v>
      </c>
      <c r="J180" s="18" t="s">
        <v>790</v>
      </c>
      <c r="K180" s="18" t="s">
        <v>828</v>
      </c>
      <c r="L180" s="18" t="s">
        <v>829</v>
      </c>
      <c r="M180" s="19">
        <v>0</v>
      </c>
      <c r="N180" s="19">
        <v>48</v>
      </c>
      <c r="O180" s="19">
        <v>22</v>
      </c>
      <c r="P180" s="20">
        <v>26</v>
      </c>
      <c r="Q180" s="19">
        <v>0</v>
      </c>
      <c r="R180" s="19">
        <v>0</v>
      </c>
      <c r="S180" s="19">
        <v>0</v>
      </c>
      <c r="T180" s="19">
        <v>0</v>
      </c>
      <c r="U180" s="18" t="s">
        <v>796</v>
      </c>
      <c r="V180" s="21" t="s">
        <v>1084</v>
      </c>
    </row>
    <row r="181" spans="1:22" ht="18.75">
      <c r="A181" s="17" t="s">
        <v>354</v>
      </c>
      <c r="B181" s="18" t="s">
        <v>355</v>
      </c>
      <c r="C181" s="18" t="s">
        <v>70</v>
      </c>
      <c r="D181" s="18" t="s">
        <v>71</v>
      </c>
      <c r="E181" s="18"/>
      <c r="F181" s="18"/>
      <c r="G181" s="18" t="s">
        <v>891</v>
      </c>
      <c r="H181" s="18" t="s">
        <v>892</v>
      </c>
      <c r="I181" s="18" t="s">
        <v>875</v>
      </c>
      <c r="J181" s="18" t="s">
        <v>790</v>
      </c>
      <c r="K181" s="18" t="s">
        <v>856</v>
      </c>
      <c r="L181" s="18" t="s">
        <v>857</v>
      </c>
      <c r="M181" s="19">
        <v>0</v>
      </c>
      <c r="N181" s="19">
        <v>169</v>
      </c>
      <c r="O181" s="19">
        <v>89</v>
      </c>
      <c r="P181" s="20">
        <v>80</v>
      </c>
      <c r="Q181" s="19">
        <v>0</v>
      </c>
      <c r="R181" s="19">
        <v>0</v>
      </c>
      <c r="S181" s="19">
        <v>0</v>
      </c>
      <c r="T181" s="19">
        <v>0</v>
      </c>
      <c r="U181" s="18" t="s">
        <v>1084</v>
      </c>
      <c r="V181" s="21" t="s">
        <v>1084</v>
      </c>
    </row>
    <row r="182" spans="1:22" ht="18.75">
      <c r="A182" s="17" t="s">
        <v>354</v>
      </c>
      <c r="B182" s="18" t="s">
        <v>355</v>
      </c>
      <c r="C182" s="18" t="s">
        <v>70</v>
      </c>
      <c r="D182" s="18" t="s">
        <v>71</v>
      </c>
      <c r="E182" s="18"/>
      <c r="F182" s="18"/>
      <c r="G182" s="18" t="s">
        <v>891</v>
      </c>
      <c r="H182" s="18" t="s">
        <v>892</v>
      </c>
      <c r="I182" s="18" t="s">
        <v>875</v>
      </c>
      <c r="J182" s="18" t="s">
        <v>790</v>
      </c>
      <c r="K182" s="18" t="s">
        <v>843</v>
      </c>
      <c r="L182" s="18" t="s">
        <v>844</v>
      </c>
      <c r="M182" s="19">
        <v>0</v>
      </c>
      <c r="N182" s="19">
        <v>40</v>
      </c>
      <c r="O182" s="19">
        <v>0</v>
      </c>
      <c r="P182" s="20">
        <v>40</v>
      </c>
      <c r="Q182" s="19">
        <v>0</v>
      </c>
      <c r="R182" s="19">
        <v>0</v>
      </c>
      <c r="S182" s="19">
        <v>0</v>
      </c>
      <c r="T182" s="19">
        <v>0</v>
      </c>
      <c r="U182" s="18" t="s">
        <v>47</v>
      </c>
      <c r="V182" s="21" t="s">
        <v>1084</v>
      </c>
    </row>
    <row r="183" spans="1:22" ht="18.75">
      <c r="A183" s="17" t="s">
        <v>354</v>
      </c>
      <c r="B183" s="18" t="s">
        <v>355</v>
      </c>
      <c r="C183" s="18" t="s">
        <v>70</v>
      </c>
      <c r="D183" s="18" t="s">
        <v>71</v>
      </c>
      <c r="E183" s="18"/>
      <c r="F183" s="18"/>
      <c r="G183" s="18" t="s">
        <v>891</v>
      </c>
      <c r="H183" s="18" t="s">
        <v>892</v>
      </c>
      <c r="I183" s="18" t="s">
        <v>875</v>
      </c>
      <c r="J183" s="18" t="s">
        <v>790</v>
      </c>
      <c r="K183" s="18" t="s">
        <v>810</v>
      </c>
      <c r="L183" s="18" t="s">
        <v>811</v>
      </c>
      <c r="M183" s="19">
        <v>0</v>
      </c>
      <c r="N183" s="19">
        <v>1</v>
      </c>
      <c r="O183" s="19">
        <v>0</v>
      </c>
      <c r="P183" s="20">
        <v>1</v>
      </c>
      <c r="Q183" s="19">
        <v>0</v>
      </c>
      <c r="R183" s="19">
        <v>0</v>
      </c>
      <c r="S183" s="19">
        <v>0</v>
      </c>
      <c r="T183" s="19">
        <v>0</v>
      </c>
      <c r="U183" s="18" t="s">
        <v>796</v>
      </c>
      <c r="V183" s="21" t="s">
        <v>1084</v>
      </c>
    </row>
    <row r="184" spans="1:22" ht="18.75">
      <c r="A184" s="17" t="s">
        <v>362</v>
      </c>
      <c r="B184" s="18" t="s">
        <v>363</v>
      </c>
      <c r="C184" s="18" t="s">
        <v>70</v>
      </c>
      <c r="D184" s="18" t="s">
        <v>71</v>
      </c>
      <c r="E184" s="18"/>
      <c r="F184" s="18"/>
      <c r="G184" s="18" t="s">
        <v>1100</v>
      </c>
      <c r="H184" s="18" t="s">
        <v>1101</v>
      </c>
      <c r="I184" s="18" t="s">
        <v>847</v>
      </c>
      <c r="J184" s="18" t="s">
        <v>790</v>
      </c>
      <c r="K184" s="18" t="s">
        <v>828</v>
      </c>
      <c r="L184" s="18" t="s">
        <v>829</v>
      </c>
      <c r="M184" s="19">
        <v>0</v>
      </c>
      <c r="N184" s="19">
        <v>98</v>
      </c>
      <c r="O184" s="19">
        <v>94</v>
      </c>
      <c r="P184" s="20">
        <v>4</v>
      </c>
      <c r="Q184" s="19">
        <v>0</v>
      </c>
      <c r="R184" s="19">
        <v>0</v>
      </c>
      <c r="S184" s="19">
        <v>0</v>
      </c>
      <c r="T184" s="19">
        <v>0</v>
      </c>
      <c r="U184" s="18" t="s">
        <v>937</v>
      </c>
      <c r="V184" s="21" t="s">
        <v>917</v>
      </c>
    </row>
    <row r="185" spans="1:22" ht="18.75">
      <c r="A185" s="17" t="s">
        <v>362</v>
      </c>
      <c r="B185" s="18" t="s">
        <v>363</v>
      </c>
      <c r="C185" s="18" t="s">
        <v>70</v>
      </c>
      <c r="D185" s="18" t="s">
        <v>71</v>
      </c>
      <c r="E185" s="18"/>
      <c r="F185" s="18"/>
      <c r="G185" s="18" t="s">
        <v>1100</v>
      </c>
      <c r="H185" s="18" t="s">
        <v>1101</v>
      </c>
      <c r="I185" s="18" t="s">
        <v>847</v>
      </c>
      <c r="J185" s="18" t="s">
        <v>790</v>
      </c>
      <c r="K185" s="18" t="s">
        <v>843</v>
      </c>
      <c r="L185" s="18" t="s">
        <v>844</v>
      </c>
      <c r="M185" s="19">
        <v>0</v>
      </c>
      <c r="N185" s="19">
        <v>14</v>
      </c>
      <c r="O185" s="19">
        <v>5</v>
      </c>
      <c r="P185" s="20">
        <v>9</v>
      </c>
      <c r="Q185" s="19">
        <v>0</v>
      </c>
      <c r="R185" s="19">
        <v>0</v>
      </c>
      <c r="S185" s="19">
        <v>0</v>
      </c>
      <c r="T185" s="19">
        <v>0</v>
      </c>
      <c r="U185" s="18" t="s">
        <v>937</v>
      </c>
      <c r="V185" s="21" t="s">
        <v>917</v>
      </c>
    </row>
    <row r="186" spans="1:22" ht="18.75">
      <c r="A186" s="17" t="s">
        <v>362</v>
      </c>
      <c r="B186" s="18" t="s">
        <v>363</v>
      </c>
      <c r="C186" s="18" t="s">
        <v>70</v>
      </c>
      <c r="D186" s="18" t="s">
        <v>71</v>
      </c>
      <c r="E186" s="18"/>
      <c r="F186" s="18"/>
      <c r="G186" s="18" t="s">
        <v>1102</v>
      </c>
      <c r="H186" s="18" t="s">
        <v>1103</v>
      </c>
      <c r="I186" s="18" t="s">
        <v>1104</v>
      </c>
      <c r="J186" s="18" t="s">
        <v>790</v>
      </c>
      <c r="K186" s="18" t="s">
        <v>824</v>
      </c>
      <c r="L186" s="18" t="s">
        <v>825</v>
      </c>
      <c r="M186" s="19">
        <v>0</v>
      </c>
      <c r="N186" s="19">
        <v>10</v>
      </c>
      <c r="O186" s="19">
        <v>4</v>
      </c>
      <c r="P186" s="20">
        <v>6</v>
      </c>
      <c r="Q186" s="19">
        <v>0</v>
      </c>
      <c r="R186" s="19">
        <v>0</v>
      </c>
      <c r="S186" s="19">
        <v>0</v>
      </c>
      <c r="T186" s="19">
        <v>0</v>
      </c>
      <c r="U186" s="18" t="s">
        <v>47</v>
      </c>
      <c r="V186" s="21" t="s">
        <v>1071</v>
      </c>
    </row>
    <row r="187" spans="1:22" ht="18.75">
      <c r="A187" s="17" t="s">
        <v>362</v>
      </c>
      <c r="B187" s="18" t="s">
        <v>363</v>
      </c>
      <c r="C187" s="18" t="s">
        <v>70</v>
      </c>
      <c r="D187" s="18" t="s">
        <v>71</v>
      </c>
      <c r="E187" s="18"/>
      <c r="F187" s="18"/>
      <c r="G187" s="18" t="s">
        <v>1102</v>
      </c>
      <c r="H187" s="18" t="s">
        <v>1103</v>
      </c>
      <c r="I187" s="18" t="s">
        <v>1104</v>
      </c>
      <c r="J187" s="18" t="s">
        <v>790</v>
      </c>
      <c r="K187" s="18" t="s">
        <v>828</v>
      </c>
      <c r="L187" s="18" t="s">
        <v>829</v>
      </c>
      <c r="M187" s="19">
        <v>0</v>
      </c>
      <c r="N187" s="19">
        <v>20</v>
      </c>
      <c r="O187" s="19">
        <v>10</v>
      </c>
      <c r="P187" s="20">
        <v>10</v>
      </c>
      <c r="Q187" s="19">
        <v>0</v>
      </c>
      <c r="R187" s="19">
        <v>0</v>
      </c>
      <c r="S187" s="19">
        <v>0</v>
      </c>
      <c r="T187" s="19">
        <v>0</v>
      </c>
      <c r="U187" s="18" t="s">
        <v>937</v>
      </c>
      <c r="V187" s="21" t="s">
        <v>1071</v>
      </c>
    </row>
    <row r="188" spans="1:22" ht="18.75">
      <c r="A188" s="17" t="s">
        <v>362</v>
      </c>
      <c r="B188" s="18" t="s">
        <v>363</v>
      </c>
      <c r="C188" s="18" t="s">
        <v>70</v>
      </c>
      <c r="D188" s="18" t="s">
        <v>71</v>
      </c>
      <c r="E188" s="18"/>
      <c r="F188" s="18"/>
      <c r="G188" s="18" t="s">
        <v>1105</v>
      </c>
      <c r="H188" s="18" t="s">
        <v>1106</v>
      </c>
      <c r="I188" s="18" t="s">
        <v>1107</v>
      </c>
      <c r="J188" s="18" t="s">
        <v>790</v>
      </c>
      <c r="K188" s="18" t="s">
        <v>840</v>
      </c>
      <c r="L188" s="18" t="s">
        <v>841</v>
      </c>
      <c r="M188" s="19">
        <v>0</v>
      </c>
      <c r="N188" s="19">
        <v>35</v>
      </c>
      <c r="O188" s="19">
        <v>0</v>
      </c>
      <c r="P188" s="20">
        <v>35</v>
      </c>
      <c r="Q188" s="19">
        <v>0</v>
      </c>
      <c r="R188" s="19">
        <v>0</v>
      </c>
      <c r="S188" s="19">
        <v>0</v>
      </c>
      <c r="T188" s="19">
        <v>0</v>
      </c>
      <c r="U188" s="18" t="s">
        <v>842</v>
      </c>
      <c r="V188" s="21" t="s">
        <v>1071</v>
      </c>
    </row>
    <row r="189" spans="1:22" ht="18.75">
      <c r="A189" s="17" t="s">
        <v>362</v>
      </c>
      <c r="B189" s="18" t="s">
        <v>363</v>
      </c>
      <c r="C189" s="18" t="s">
        <v>70</v>
      </c>
      <c r="D189" s="18" t="s">
        <v>71</v>
      </c>
      <c r="E189" s="18"/>
      <c r="F189" s="18"/>
      <c r="G189" s="18" t="s">
        <v>1105</v>
      </c>
      <c r="H189" s="18" t="s">
        <v>1106</v>
      </c>
      <c r="I189" s="18" t="s">
        <v>1107</v>
      </c>
      <c r="J189" s="18" t="s">
        <v>790</v>
      </c>
      <c r="K189" s="18" t="s">
        <v>856</v>
      </c>
      <c r="L189" s="18" t="s">
        <v>857</v>
      </c>
      <c r="M189" s="19">
        <v>0</v>
      </c>
      <c r="N189" s="19">
        <v>110</v>
      </c>
      <c r="O189" s="19">
        <v>35</v>
      </c>
      <c r="P189" s="20">
        <v>75</v>
      </c>
      <c r="Q189" s="19">
        <v>0</v>
      </c>
      <c r="R189" s="19">
        <v>0</v>
      </c>
      <c r="S189" s="19">
        <v>0</v>
      </c>
      <c r="T189" s="19">
        <v>0</v>
      </c>
      <c r="U189" s="18" t="s">
        <v>1084</v>
      </c>
      <c r="V189" s="21" t="s">
        <v>1071</v>
      </c>
    </row>
    <row r="190" spans="1:22" ht="18.75">
      <c r="A190" s="17" t="s">
        <v>366</v>
      </c>
      <c r="B190" s="18" t="s">
        <v>367</v>
      </c>
      <c r="C190" s="18" t="s">
        <v>70</v>
      </c>
      <c r="D190" s="18" t="s">
        <v>71</v>
      </c>
      <c r="E190" s="18"/>
      <c r="F190" s="18"/>
      <c r="G190" s="18" t="s">
        <v>1108</v>
      </c>
      <c r="H190" s="18" t="s">
        <v>1109</v>
      </c>
      <c r="I190" s="18" t="s">
        <v>1110</v>
      </c>
      <c r="J190" s="18" t="s">
        <v>790</v>
      </c>
      <c r="K190" s="18" t="s">
        <v>1000</v>
      </c>
      <c r="L190" s="18" t="s">
        <v>1001</v>
      </c>
      <c r="M190" s="19">
        <v>0</v>
      </c>
      <c r="N190" s="19">
        <v>4</v>
      </c>
      <c r="O190" s="19">
        <v>1</v>
      </c>
      <c r="P190" s="20">
        <v>3</v>
      </c>
      <c r="Q190" s="19">
        <v>0</v>
      </c>
      <c r="R190" s="19">
        <v>0</v>
      </c>
      <c r="S190" s="19">
        <v>0</v>
      </c>
      <c r="T190" s="19">
        <v>0</v>
      </c>
      <c r="U190" s="18" t="s">
        <v>1088</v>
      </c>
      <c r="V190" s="21" t="s">
        <v>917</v>
      </c>
    </row>
    <row r="191" spans="1:22" ht="18.75">
      <c r="A191" s="17" t="s">
        <v>366</v>
      </c>
      <c r="B191" s="18" t="s">
        <v>367</v>
      </c>
      <c r="C191" s="18" t="s">
        <v>70</v>
      </c>
      <c r="D191" s="18" t="s">
        <v>71</v>
      </c>
      <c r="E191" s="18"/>
      <c r="F191" s="18"/>
      <c r="G191" s="18" t="s">
        <v>1111</v>
      </c>
      <c r="H191" s="18" t="s">
        <v>1112</v>
      </c>
      <c r="I191" s="18" t="s">
        <v>1113</v>
      </c>
      <c r="J191" s="18" t="s">
        <v>790</v>
      </c>
      <c r="K191" s="18" t="s">
        <v>1000</v>
      </c>
      <c r="L191" s="18" t="s">
        <v>1001</v>
      </c>
      <c r="M191" s="19">
        <v>0</v>
      </c>
      <c r="N191" s="19">
        <v>3</v>
      </c>
      <c r="O191" s="19">
        <v>0</v>
      </c>
      <c r="P191" s="20">
        <v>3</v>
      </c>
      <c r="Q191" s="19">
        <v>0</v>
      </c>
      <c r="R191" s="19">
        <v>0</v>
      </c>
      <c r="S191" s="19">
        <v>0</v>
      </c>
      <c r="T191" s="19">
        <v>0</v>
      </c>
      <c r="U191" s="18" t="s">
        <v>1088</v>
      </c>
      <c r="V191" s="21" t="s">
        <v>1084</v>
      </c>
    </row>
    <row r="192" spans="1:22" ht="18.75">
      <c r="A192" s="17" t="s">
        <v>609</v>
      </c>
      <c r="B192" s="18" t="s">
        <v>610</v>
      </c>
      <c r="C192" s="18" t="s">
        <v>1124</v>
      </c>
      <c r="D192" s="18" t="s">
        <v>128</v>
      </c>
      <c r="E192" s="18"/>
      <c r="F192" s="18"/>
      <c r="G192" s="18" t="s">
        <v>1125</v>
      </c>
      <c r="H192" s="18" t="s">
        <v>1126</v>
      </c>
      <c r="I192" s="18" t="s">
        <v>880</v>
      </c>
      <c r="J192" s="18" t="s">
        <v>790</v>
      </c>
      <c r="K192" s="18" t="s">
        <v>966</v>
      </c>
      <c r="L192" s="18" t="s">
        <v>967</v>
      </c>
      <c r="M192" s="19">
        <v>0</v>
      </c>
      <c r="N192" s="19">
        <v>99</v>
      </c>
      <c r="O192" s="19">
        <v>71</v>
      </c>
      <c r="P192" s="20">
        <v>28</v>
      </c>
      <c r="Q192" s="19">
        <v>0</v>
      </c>
      <c r="R192" s="19">
        <v>0</v>
      </c>
      <c r="S192" s="19">
        <v>0</v>
      </c>
      <c r="T192" s="19">
        <v>0</v>
      </c>
      <c r="U192" s="18" t="s">
        <v>953</v>
      </c>
      <c r="V192" s="21" t="s">
        <v>880</v>
      </c>
    </row>
    <row r="193" spans="1:22" ht="18.75">
      <c r="A193" s="17" t="s">
        <v>609</v>
      </c>
      <c r="B193" s="18" t="s">
        <v>610</v>
      </c>
      <c r="C193" s="18" t="s">
        <v>1124</v>
      </c>
      <c r="D193" s="18" t="s">
        <v>128</v>
      </c>
      <c r="E193" s="18"/>
      <c r="F193" s="18"/>
      <c r="G193" s="18" t="s">
        <v>1121</v>
      </c>
      <c r="H193" s="18" t="s">
        <v>1122</v>
      </c>
      <c r="I193" s="18" t="s">
        <v>1123</v>
      </c>
      <c r="J193" s="18" t="s">
        <v>790</v>
      </c>
      <c r="K193" s="18" t="s">
        <v>843</v>
      </c>
      <c r="L193" s="18" t="s">
        <v>844</v>
      </c>
      <c r="M193" s="19">
        <v>0</v>
      </c>
      <c r="N193" s="19">
        <v>2</v>
      </c>
      <c r="O193" s="19">
        <v>1</v>
      </c>
      <c r="P193" s="20">
        <v>1</v>
      </c>
      <c r="Q193" s="19">
        <v>0</v>
      </c>
      <c r="R193" s="19">
        <v>0</v>
      </c>
      <c r="S193" s="19">
        <v>0</v>
      </c>
      <c r="T193" s="19">
        <v>0</v>
      </c>
      <c r="U193" s="18" t="s">
        <v>1088</v>
      </c>
      <c r="V193" s="21" t="s">
        <v>1107</v>
      </c>
    </row>
    <row r="194" spans="1:22" ht="18.75">
      <c r="A194" s="17" t="s">
        <v>609</v>
      </c>
      <c r="B194" s="18" t="s">
        <v>610</v>
      </c>
      <c r="C194" s="18" t="s">
        <v>1124</v>
      </c>
      <c r="D194" s="18" t="s">
        <v>128</v>
      </c>
      <c r="E194" s="18"/>
      <c r="F194" s="18"/>
      <c r="G194" s="18" t="s">
        <v>1119</v>
      </c>
      <c r="H194" s="18" t="s">
        <v>1120</v>
      </c>
      <c r="I194" s="18" t="s">
        <v>953</v>
      </c>
      <c r="J194" s="18" t="s">
        <v>790</v>
      </c>
      <c r="K194" s="18" t="s">
        <v>824</v>
      </c>
      <c r="L194" s="18" t="s">
        <v>825</v>
      </c>
      <c r="M194" s="19">
        <v>0</v>
      </c>
      <c r="N194" s="19">
        <v>8</v>
      </c>
      <c r="O194" s="19">
        <v>6</v>
      </c>
      <c r="P194" s="20">
        <v>2</v>
      </c>
      <c r="Q194" s="19">
        <v>0</v>
      </c>
      <c r="R194" s="19">
        <v>0</v>
      </c>
      <c r="S194" s="19">
        <v>0</v>
      </c>
      <c r="T194" s="19">
        <v>0</v>
      </c>
      <c r="U194" s="18" t="s">
        <v>864</v>
      </c>
      <c r="V194" s="21" t="s">
        <v>953</v>
      </c>
    </row>
    <row r="195" spans="1:22" ht="18.75">
      <c r="A195" s="17" t="s">
        <v>609</v>
      </c>
      <c r="B195" s="18" t="s">
        <v>610</v>
      </c>
      <c r="C195" s="18" t="s">
        <v>1124</v>
      </c>
      <c r="D195" s="18" t="s">
        <v>128</v>
      </c>
      <c r="E195" s="18"/>
      <c r="F195" s="18"/>
      <c r="G195" s="18" t="s">
        <v>1119</v>
      </c>
      <c r="H195" s="18" t="s">
        <v>1120</v>
      </c>
      <c r="I195" s="18" t="s">
        <v>953</v>
      </c>
      <c r="J195" s="18" t="s">
        <v>790</v>
      </c>
      <c r="K195" s="18" t="s">
        <v>828</v>
      </c>
      <c r="L195" s="18" t="s">
        <v>829</v>
      </c>
      <c r="M195" s="19">
        <v>0</v>
      </c>
      <c r="N195" s="19">
        <v>4</v>
      </c>
      <c r="O195" s="19">
        <v>0</v>
      </c>
      <c r="P195" s="20">
        <v>4</v>
      </c>
      <c r="Q195" s="19">
        <v>0</v>
      </c>
      <c r="R195" s="19">
        <v>0</v>
      </c>
      <c r="S195" s="19">
        <v>0</v>
      </c>
      <c r="T195" s="19">
        <v>0</v>
      </c>
      <c r="U195" s="18" t="s">
        <v>997</v>
      </c>
      <c r="V195" s="21" t="s">
        <v>953</v>
      </c>
    </row>
    <row r="196" spans="1:22" ht="18.75">
      <c r="A196" s="17" t="s">
        <v>609</v>
      </c>
      <c r="B196" s="18" t="s">
        <v>610</v>
      </c>
      <c r="C196" s="18" t="s">
        <v>1124</v>
      </c>
      <c r="D196" s="18" t="s">
        <v>128</v>
      </c>
      <c r="E196" s="18"/>
      <c r="F196" s="18"/>
      <c r="G196" s="18" t="s">
        <v>1119</v>
      </c>
      <c r="H196" s="18" t="s">
        <v>1120</v>
      </c>
      <c r="I196" s="18" t="s">
        <v>953</v>
      </c>
      <c r="J196" s="18" t="s">
        <v>790</v>
      </c>
      <c r="K196" s="18" t="s">
        <v>966</v>
      </c>
      <c r="L196" s="18" t="s">
        <v>967</v>
      </c>
      <c r="M196" s="19">
        <v>0</v>
      </c>
      <c r="N196" s="19">
        <v>50</v>
      </c>
      <c r="O196" s="19">
        <v>27</v>
      </c>
      <c r="P196" s="20">
        <v>23</v>
      </c>
      <c r="Q196" s="19">
        <v>0</v>
      </c>
      <c r="R196" s="19">
        <v>0</v>
      </c>
      <c r="S196" s="19">
        <v>0</v>
      </c>
      <c r="T196" s="19">
        <v>0</v>
      </c>
      <c r="U196" s="18" t="s">
        <v>953</v>
      </c>
      <c r="V196" s="21" t="s">
        <v>953</v>
      </c>
    </row>
    <row r="197" spans="1:22" ht="18.75">
      <c r="A197" s="17" t="s">
        <v>609</v>
      </c>
      <c r="B197" s="18" t="s">
        <v>610</v>
      </c>
      <c r="C197" s="18" t="s">
        <v>1124</v>
      </c>
      <c r="D197" s="18" t="s">
        <v>128</v>
      </c>
      <c r="E197" s="18"/>
      <c r="F197" s="18"/>
      <c r="G197" s="18" t="s">
        <v>1119</v>
      </c>
      <c r="H197" s="18" t="s">
        <v>1120</v>
      </c>
      <c r="I197" s="18" t="s">
        <v>953</v>
      </c>
      <c r="J197" s="18" t="s">
        <v>790</v>
      </c>
      <c r="K197" s="18" t="s">
        <v>906</v>
      </c>
      <c r="L197" s="18" t="s">
        <v>907</v>
      </c>
      <c r="M197" s="19">
        <v>0</v>
      </c>
      <c r="N197" s="19">
        <v>1</v>
      </c>
      <c r="O197" s="19">
        <v>0</v>
      </c>
      <c r="P197" s="20">
        <v>1</v>
      </c>
      <c r="Q197" s="19">
        <v>0</v>
      </c>
      <c r="R197" s="19">
        <v>0</v>
      </c>
      <c r="S197" s="19">
        <v>0</v>
      </c>
      <c r="T197" s="19">
        <v>0</v>
      </c>
      <c r="U197" s="18" t="s">
        <v>842</v>
      </c>
      <c r="V197" s="21" t="s">
        <v>953</v>
      </c>
    </row>
    <row r="198" spans="1:22" ht="18.75">
      <c r="A198" s="17" t="s">
        <v>611</v>
      </c>
      <c r="B198" s="18" t="s">
        <v>612</v>
      </c>
      <c r="C198" s="18" t="s">
        <v>92</v>
      </c>
      <c r="D198" s="18" t="s">
        <v>63</v>
      </c>
      <c r="E198" s="18"/>
      <c r="F198" s="18"/>
      <c r="G198" s="18" t="s">
        <v>1121</v>
      </c>
      <c r="H198" s="18" t="s">
        <v>1122</v>
      </c>
      <c r="I198" s="18" t="s">
        <v>1114</v>
      </c>
      <c r="J198" s="18" t="s">
        <v>790</v>
      </c>
      <c r="K198" s="18" t="s">
        <v>824</v>
      </c>
      <c r="L198" s="18" t="s">
        <v>825</v>
      </c>
      <c r="M198" s="19">
        <v>0</v>
      </c>
      <c r="N198" s="19">
        <v>80</v>
      </c>
      <c r="O198" s="19">
        <v>52</v>
      </c>
      <c r="P198" s="20">
        <v>28</v>
      </c>
      <c r="Q198" s="19">
        <v>0</v>
      </c>
      <c r="R198" s="19">
        <v>0</v>
      </c>
      <c r="S198" s="19">
        <v>0</v>
      </c>
      <c r="T198" s="19">
        <v>0</v>
      </c>
      <c r="U198" s="18" t="s">
        <v>47</v>
      </c>
      <c r="V198" s="21" t="s">
        <v>917</v>
      </c>
    </row>
    <row r="199" spans="1:22" ht="18.75">
      <c r="A199" s="17" t="s">
        <v>611</v>
      </c>
      <c r="B199" s="18" t="s">
        <v>612</v>
      </c>
      <c r="C199" s="18" t="s">
        <v>92</v>
      </c>
      <c r="D199" s="18" t="s">
        <v>63</v>
      </c>
      <c r="E199" s="18"/>
      <c r="F199" s="18"/>
      <c r="G199" s="18" t="s">
        <v>1121</v>
      </c>
      <c r="H199" s="18" t="s">
        <v>1122</v>
      </c>
      <c r="I199" s="18" t="s">
        <v>1114</v>
      </c>
      <c r="J199" s="18" t="s">
        <v>790</v>
      </c>
      <c r="K199" s="18" t="s">
        <v>828</v>
      </c>
      <c r="L199" s="18" t="s">
        <v>829</v>
      </c>
      <c r="M199" s="19">
        <v>0</v>
      </c>
      <c r="N199" s="19">
        <v>218</v>
      </c>
      <c r="O199" s="19">
        <v>167</v>
      </c>
      <c r="P199" s="20">
        <v>51</v>
      </c>
      <c r="Q199" s="19">
        <v>0</v>
      </c>
      <c r="R199" s="19">
        <v>0</v>
      </c>
      <c r="S199" s="19">
        <v>0</v>
      </c>
      <c r="T199" s="19">
        <v>0</v>
      </c>
      <c r="U199" s="18" t="s">
        <v>954</v>
      </c>
      <c r="V199" s="21" t="s">
        <v>917</v>
      </c>
    </row>
    <row r="200" spans="1:22" ht="18.75">
      <c r="A200" s="17" t="s">
        <v>611</v>
      </c>
      <c r="B200" s="18" t="s">
        <v>612</v>
      </c>
      <c r="C200" s="18" t="s">
        <v>92</v>
      </c>
      <c r="D200" s="18" t="s">
        <v>63</v>
      </c>
      <c r="E200" s="18"/>
      <c r="F200" s="18"/>
      <c r="G200" s="18" t="s">
        <v>1121</v>
      </c>
      <c r="H200" s="18" t="s">
        <v>1122</v>
      </c>
      <c r="I200" s="18" t="s">
        <v>1114</v>
      </c>
      <c r="J200" s="18" t="s">
        <v>790</v>
      </c>
      <c r="K200" s="18" t="s">
        <v>889</v>
      </c>
      <c r="L200" s="18" t="s">
        <v>890</v>
      </c>
      <c r="M200" s="19">
        <v>0</v>
      </c>
      <c r="N200" s="19">
        <v>2</v>
      </c>
      <c r="O200" s="19">
        <v>0</v>
      </c>
      <c r="P200" s="20">
        <v>2</v>
      </c>
      <c r="Q200" s="19">
        <v>0</v>
      </c>
      <c r="R200" s="19">
        <v>0</v>
      </c>
      <c r="S200" s="19">
        <v>0</v>
      </c>
      <c r="T200" s="19">
        <v>0</v>
      </c>
      <c r="U200" s="18" t="s">
        <v>1115</v>
      </c>
      <c r="V200" s="21" t="s">
        <v>917</v>
      </c>
    </row>
    <row r="201" spans="1:22" ht="18.75">
      <c r="A201" s="17" t="s">
        <v>611</v>
      </c>
      <c r="B201" s="18" t="s">
        <v>612</v>
      </c>
      <c r="C201" s="18" t="s">
        <v>92</v>
      </c>
      <c r="D201" s="18" t="s">
        <v>63</v>
      </c>
      <c r="E201" s="18"/>
      <c r="F201" s="18"/>
      <c r="G201" s="18" t="s">
        <v>1121</v>
      </c>
      <c r="H201" s="18" t="s">
        <v>1122</v>
      </c>
      <c r="I201" s="18" t="s">
        <v>1114</v>
      </c>
      <c r="J201" s="18" t="s">
        <v>790</v>
      </c>
      <c r="K201" s="18" t="s">
        <v>843</v>
      </c>
      <c r="L201" s="18" t="s">
        <v>844</v>
      </c>
      <c r="M201" s="19">
        <v>0</v>
      </c>
      <c r="N201" s="19">
        <v>12</v>
      </c>
      <c r="O201" s="19">
        <v>2</v>
      </c>
      <c r="P201" s="20">
        <v>10</v>
      </c>
      <c r="Q201" s="19">
        <v>0</v>
      </c>
      <c r="R201" s="19">
        <v>0</v>
      </c>
      <c r="S201" s="19">
        <v>0</v>
      </c>
      <c r="T201" s="19">
        <v>0</v>
      </c>
      <c r="U201" s="18" t="s">
        <v>871</v>
      </c>
      <c r="V201" s="21" t="s">
        <v>917</v>
      </c>
    </row>
    <row r="202" spans="1:22" ht="18.75">
      <c r="A202" s="17" t="s">
        <v>613</v>
      </c>
      <c r="B202" s="18" t="s">
        <v>614</v>
      </c>
      <c r="C202" s="18" t="s">
        <v>1124</v>
      </c>
      <c r="D202" s="18" t="s">
        <v>128</v>
      </c>
      <c r="E202" s="18"/>
      <c r="F202" s="18"/>
      <c r="G202" s="18" t="s">
        <v>1127</v>
      </c>
      <c r="H202" s="18" t="s">
        <v>1128</v>
      </c>
      <c r="I202" s="18" t="s">
        <v>917</v>
      </c>
      <c r="J202" s="18" t="s">
        <v>790</v>
      </c>
      <c r="K202" s="18" t="s">
        <v>824</v>
      </c>
      <c r="L202" s="18" t="s">
        <v>825</v>
      </c>
      <c r="M202" s="19">
        <v>0</v>
      </c>
      <c r="N202" s="19">
        <v>40</v>
      </c>
      <c r="O202" s="19">
        <v>37</v>
      </c>
      <c r="P202" s="20">
        <v>3</v>
      </c>
      <c r="Q202" s="19">
        <v>0</v>
      </c>
      <c r="R202" s="19">
        <v>0</v>
      </c>
      <c r="S202" s="19">
        <v>0</v>
      </c>
      <c r="T202" s="19">
        <v>0</v>
      </c>
      <c r="U202" s="18" t="s">
        <v>1088</v>
      </c>
      <c r="V202" s="21" t="s">
        <v>917</v>
      </c>
    </row>
    <row r="203" spans="1:22" ht="18.75">
      <c r="A203" s="17" t="s">
        <v>613</v>
      </c>
      <c r="B203" s="18" t="s">
        <v>614</v>
      </c>
      <c r="C203" s="18" t="s">
        <v>1124</v>
      </c>
      <c r="D203" s="18" t="s">
        <v>128</v>
      </c>
      <c r="E203" s="18"/>
      <c r="F203" s="18"/>
      <c r="G203" s="18" t="s">
        <v>1127</v>
      </c>
      <c r="H203" s="18" t="s">
        <v>1128</v>
      </c>
      <c r="I203" s="18" t="s">
        <v>917</v>
      </c>
      <c r="J203" s="18" t="s">
        <v>790</v>
      </c>
      <c r="K203" s="18" t="s">
        <v>843</v>
      </c>
      <c r="L203" s="18" t="s">
        <v>844</v>
      </c>
      <c r="M203" s="19">
        <v>0</v>
      </c>
      <c r="N203" s="19">
        <v>47</v>
      </c>
      <c r="O203" s="19">
        <v>45</v>
      </c>
      <c r="P203" s="20">
        <v>2</v>
      </c>
      <c r="Q203" s="19">
        <v>0</v>
      </c>
      <c r="R203" s="19">
        <v>0</v>
      </c>
      <c r="S203" s="19">
        <v>0</v>
      </c>
      <c r="T203" s="19">
        <v>0</v>
      </c>
      <c r="U203" s="18" t="s">
        <v>871</v>
      </c>
      <c r="V203" s="21" t="s">
        <v>917</v>
      </c>
    </row>
    <row r="204" spans="1:22" ht="18.75">
      <c r="A204" s="17" t="s">
        <v>615</v>
      </c>
      <c r="B204" s="18" t="s">
        <v>616</v>
      </c>
      <c r="C204" s="18" t="s">
        <v>63</v>
      </c>
      <c r="D204" s="18" t="s">
        <v>63</v>
      </c>
      <c r="E204" s="18"/>
      <c r="F204" s="18"/>
      <c r="G204" s="18" t="s">
        <v>1127</v>
      </c>
      <c r="H204" s="18" t="s">
        <v>1128</v>
      </c>
      <c r="I204" s="18" t="s">
        <v>1129</v>
      </c>
      <c r="J204" s="18" t="s">
        <v>790</v>
      </c>
      <c r="K204" s="18" t="s">
        <v>824</v>
      </c>
      <c r="L204" s="18" t="s">
        <v>825</v>
      </c>
      <c r="M204" s="19">
        <v>0</v>
      </c>
      <c r="N204" s="19">
        <v>819</v>
      </c>
      <c r="O204" s="19">
        <v>548</v>
      </c>
      <c r="P204" s="20">
        <v>271</v>
      </c>
      <c r="Q204" s="19">
        <v>0</v>
      </c>
      <c r="R204" s="19">
        <v>0</v>
      </c>
      <c r="S204" s="19">
        <v>0</v>
      </c>
      <c r="T204" s="19">
        <v>0</v>
      </c>
      <c r="U204" s="18" t="s">
        <v>864</v>
      </c>
      <c r="V204" s="21" t="s">
        <v>867</v>
      </c>
    </row>
    <row r="205" spans="1:22" ht="18.75">
      <c r="A205" s="17" t="s">
        <v>615</v>
      </c>
      <c r="B205" s="18" t="s">
        <v>616</v>
      </c>
      <c r="C205" s="18" t="s">
        <v>63</v>
      </c>
      <c r="D205" s="18" t="s">
        <v>63</v>
      </c>
      <c r="E205" s="18"/>
      <c r="F205" s="18"/>
      <c r="G205" s="18" t="s">
        <v>1127</v>
      </c>
      <c r="H205" s="18" t="s">
        <v>1128</v>
      </c>
      <c r="I205" s="18" t="s">
        <v>1129</v>
      </c>
      <c r="J205" s="18" t="s">
        <v>790</v>
      </c>
      <c r="K205" s="18" t="s">
        <v>828</v>
      </c>
      <c r="L205" s="18" t="s">
        <v>829</v>
      </c>
      <c r="M205" s="19">
        <v>0</v>
      </c>
      <c r="N205" s="19">
        <v>624</v>
      </c>
      <c r="O205" s="19">
        <v>493</v>
      </c>
      <c r="P205" s="20">
        <v>131</v>
      </c>
      <c r="Q205" s="19">
        <v>0</v>
      </c>
      <c r="R205" s="19">
        <v>0</v>
      </c>
      <c r="S205" s="19">
        <v>0</v>
      </c>
      <c r="T205" s="19">
        <v>0</v>
      </c>
      <c r="U205" s="18" t="s">
        <v>1062</v>
      </c>
      <c r="V205" s="21" t="s">
        <v>867</v>
      </c>
    </row>
    <row r="206" spans="1:22" ht="18.75">
      <c r="A206" s="17" t="s">
        <v>615</v>
      </c>
      <c r="B206" s="18" t="s">
        <v>616</v>
      </c>
      <c r="C206" s="18" t="s">
        <v>63</v>
      </c>
      <c r="D206" s="18" t="s">
        <v>63</v>
      </c>
      <c r="E206" s="18"/>
      <c r="F206" s="18"/>
      <c r="G206" s="18" t="s">
        <v>1127</v>
      </c>
      <c r="H206" s="18" t="s">
        <v>1128</v>
      </c>
      <c r="I206" s="18" t="s">
        <v>1129</v>
      </c>
      <c r="J206" s="18" t="s">
        <v>790</v>
      </c>
      <c r="K206" s="18" t="s">
        <v>843</v>
      </c>
      <c r="L206" s="18" t="s">
        <v>844</v>
      </c>
      <c r="M206" s="19">
        <v>0</v>
      </c>
      <c r="N206" s="19">
        <v>224</v>
      </c>
      <c r="O206" s="19">
        <v>155</v>
      </c>
      <c r="P206" s="20">
        <v>69</v>
      </c>
      <c r="Q206" s="19">
        <v>0</v>
      </c>
      <c r="R206" s="19">
        <v>0</v>
      </c>
      <c r="S206" s="19">
        <v>0</v>
      </c>
      <c r="T206" s="19">
        <v>0</v>
      </c>
      <c r="U206" s="18" t="s">
        <v>871</v>
      </c>
      <c r="V206" s="21" t="s">
        <v>867</v>
      </c>
    </row>
    <row r="207" spans="1:22" ht="18.75">
      <c r="A207" s="17" t="s">
        <v>615</v>
      </c>
      <c r="B207" s="18" t="s">
        <v>616</v>
      </c>
      <c r="C207" s="18" t="s">
        <v>63</v>
      </c>
      <c r="D207" s="18" t="s">
        <v>63</v>
      </c>
      <c r="E207" s="18"/>
      <c r="F207" s="18"/>
      <c r="G207" s="18" t="s">
        <v>1127</v>
      </c>
      <c r="H207" s="18" t="s">
        <v>1128</v>
      </c>
      <c r="I207" s="18" t="s">
        <v>1129</v>
      </c>
      <c r="J207" s="18" t="s">
        <v>790</v>
      </c>
      <c r="K207" s="18" t="s">
        <v>906</v>
      </c>
      <c r="L207" s="18" t="s">
        <v>907</v>
      </c>
      <c r="M207" s="19">
        <v>0</v>
      </c>
      <c r="N207" s="19">
        <v>186</v>
      </c>
      <c r="O207" s="19">
        <v>156</v>
      </c>
      <c r="P207" s="20">
        <v>30</v>
      </c>
      <c r="Q207" s="19">
        <v>0</v>
      </c>
      <c r="R207" s="19">
        <v>0</v>
      </c>
      <c r="S207" s="19">
        <v>0</v>
      </c>
      <c r="T207" s="19">
        <v>0</v>
      </c>
      <c r="U207" s="18" t="s">
        <v>842</v>
      </c>
      <c r="V207" s="21" t="s">
        <v>867</v>
      </c>
    </row>
    <row r="208" spans="1:22" ht="18.75">
      <c r="A208" s="17" t="s">
        <v>617</v>
      </c>
      <c r="B208" s="18" t="s">
        <v>618</v>
      </c>
      <c r="C208" s="18" t="s">
        <v>1130</v>
      </c>
      <c r="D208" s="18" t="s">
        <v>128</v>
      </c>
      <c r="E208" s="18"/>
      <c r="F208" s="18"/>
      <c r="G208" s="18" t="s">
        <v>1131</v>
      </c>
      <c r="H208" s="18" t="s">
        <v>1132</v>
      </c>
      <c r="I208" s="18" t="s">
        <v>1133</v>
      </c>
      <c r="J208" s="18" t="s">
        <v>790</v>
      </c>
      <c r="K208" s="18" t="s">
        <v>824</v>
      </c>
      <c r="L208" s="18" t="s">
        <v>825</v>
      </c>
      <c r="M208" s="19">
        <v>0</v>
      </c>
      <c r="N208" s="19">
        <v>8</v>
      </c>
      <c r="O208" s="19">
        <v>7</v>
      </c>
      <c r="P208" s="20">
        <v>1</v>
      </c>
      <c r="Q208" s="19">
        <v>0</v>
      </c>
      <c r="R208" s="19">
        <v>0</v>
      </c>
      <c r="S208" s="19">
        <v>0</v>
      </c>
      <c r="T208" s="19">
        <v>0</v>
      </c>
      <c r="U208" s="18" t="s">
        <v>1088</v>
      </c>
      <c r="V208" s="21" t="s">
        <v>884</v>
      </c>
    </row>
    <row r="209" spans="1:22" ht="18.75">
      <c r="A209" s="17" t="s">
        <v>617</v>
      </c>
      <c r="B209" s="18" t="s">
        <v>618</v>
      </c>
      <c r="C209" s="18" t="s">
        <v>1130</v>
      </c>
      <c r="D209" s="18" t="s">
        <v>128</v>
      </c>
      <c r="E209" s="18"/>
      <c r="F209" s="18"/>
      <c r="G209" s="18" t="s">
        <v>1134</v>
      </c>
      <c r="H209" s="18" t="s">
        <v>1135</v>
      </c>
      <c r="I209" s="18" t="s">
        <v>1136</v>
      </c>
      <c r="J209" s="18" t="s">
        <v>790</v>
      </c>
      <c r="K209" s="18" t="s">
        <v>824</v>
      </c>
      <c r="L209" s="18" t="s">
        <v>825</v>
      </c>
      <c r="M209" s="19">
        <v>0</v>
      </c>
      <c r="N209" s="19">
        <v>4</v>
      </c>
      <c r="O209" s="19">
        <v>0</v>
      </c>
      <c r="P209" s="20">
        <v>4</v>
      </c>
      <c r="Q209" s="19">
        <v>0</v>
      </c>
      <c r="R209" s="19">
        <v>0</v>
      </c>
      <c r="S209" s="19">
        <v>0</v>
      </c>
      <c r="T209" s="19">
        <v>0</v>
      </c>
      <c r="U209" s="18" t="s">
        <v>1088</v>
      </c>
      <c r="V209" s="21" t="s">
        <v>993</v>
      </c>
    </row>
    <row r="210" spans="1:22" ht="18.75">
      <c r="A210" s="17" t="s">
        <v>619</v>
      </c>
      <c r="B210" s="18" t="s">
        <v>620</v>
      </c>
      <c r="C210" s="18" t="s">
        <v>872</v>
      </c>
      <c r="D210" s="18" t="s">
        <v>63</v>
      </c>
      <c r="E210" s="18"/>
      <c r="F210" s="18"/>
      <c r="G210" s="18" t="s">
        <v>1117</v>
      </c>
      <c r="H210" s="18" t="s">
        <v>1118</v>
      </c>
      <c r="I210" s="18" t="s">
        <v>1137</v>
      </c>
      <c r="J210" s="18" t="s">
        <v>790</v>
      </c>
      <c r="K210" s="18" t="s">
        <v>824</v>
      </c>
      <c r="L210" s="18" t="s">
        <v>825</v>
      </c>
      <c r="M210" s="19">
        <v>0</v>
      </c>
      <c r="N210" s="19">
        <v>30</v>
      </c>
      <c r="O210" s="19">
        <v>28</v>
      </c>
      <c r="P210" s="20">
        <v>2</v>
      </c>
      <c r="Q210" s="19">
        <v>0</v>
      </c>
      <c r="R210" s="19">
        <v>0</v>
      </c>
      <c r="S210" s="19">
        <v>0</v>
      </c>
      <c r="T210" s="19">
        <v>0</v>
      </c>
      <c r="U210" s="18" t="s">
        <v>47</v>
      </c>
      <c r="V210" s="21" t="s">
        <v>802</v>
      </c>
    </row>
    <row r="211" spans="1:22" ht="18.75">
      <c r="A211" s="17" t="s">
        <v>619</v>
      </c>
      <c r="B211" s="18" t="s">
        <v>620</v>
      </c>
      <c r="C211" s="18" t="s">
        <v>872</v>
      </c>
      <c r="D211" s="18" t="s">
        <v>63</v>
      </c>
      <c r="E211" s="18"/>
      <c r="F211" s="18"/>
      <c r="G211" s="18" t="s">
        <v>1117</v>
      </c>
      <c r="H211" s="18" t="s">
        <v>1118</v>
      </c>
      <c r="I211" s="18" t="s">
        <v>1137</v>
      </c>
      <c r="J211" s="18" t="s">
        <v>790</v>
      </c>
      <c r="K211" s="18" t="s">
        <v>828</v>
      </c>
      <c r="L211" s="18" t="s">
        <v>829</v>
      </c>
      <c r="M211" s="19">
        <v>0</v>
      </c>
      <c r="N211" s="19">
        <v>110</v>
      </c>
      <c r="O211" s="19">
        <v>79</v>
      </c>
      <c r="P211" s="20">
        <v>31</v>
      </c>
      <c r="Q211" s="19">
        <v>0</v>
      </c>
      <c r="R211" s="19">
        <v>0</v>
      </c>
      <c r="S211" s="19">
        <v>0</v>
      </c>
      <c r="T211" s="19">
        <v>0</v>
      </c>
      <c r="U211" s="18" t="s">
        <v>47</v>
      </c>
      <c r="V211" s="21" t="s">
        <v>802</v>
      </c>
    </row>
    <row r="212" spans="1:22" ht="18.75">
      <c r="A212" s="17" t="s">
        <v>771</v>
      </c>
      <c r="B212" s="18" t="s">
        <v>772</v>
      </c>
      <c r="C212" s="18" t="s">
        <v>70</v>
      </c>
      <c r="D212" s="18" t="s">
        <v>71</v>
      </c>
      <c r="E212" s="18"/>
      <c r="F212" s="18"/>
      <c r="G212" s="18" t="s">
        <v>1140</v>
      </c>
      <c r="H212" s="18" t="s">
        <v>1141</v>
      </c>
      <c r="I212" s="18" t="s">
        <v>1142</v>
      </c>
      <c r="J212" s="18" t="s">
        <v>790</v>
      </c>
      <c r="K212" s="18" t="s">
        <v>981</v>
      </c>
      <c r="L212" s="18" t="s">
        <v>982</v>
      </c>
      <c r="M212" s="19">
        <v>0</v>
      </c>
      <c r="N212" s="19">
        <v>2</v>
      </c>
      <c r="O212" s="19">
        <v>0</v>
      </c>
      <c r="P212" s="20">
        <v>2</v>
      </c>
      <c r="Q212" s="19">
        <v>0</v>
      </c>
      <c r="R212" s="19">
        <v>0</v>
      </c>
      <c r="S212" s="19">
        <v>0</v>
      </c>
      <c r="T212" s="19">
        <v>0</v>
      </c>
      <c r="U212" s="18" t="s">
        <v>1058</v>
      </c>
      <c r="V212" s="21" t="s">
        <v>952</v>
      </c>
    </row>
    <row r="213" spans="1:22" ht="18.75">
      <c r="A213" s="17" t="s">
        <v>771</v>
      </c>
      <c r="B213" s="18" t="s">
        <v>772</v>
      </c>
      <c r="C213" s="18" t="s">
        <v>70</v>
      </c>
      <c r="D213" s="18" t="s">
        <v>71</v>
      </c>
      <c r="E213" s="18"/>
      <c r="F213" s="18"/>
      <c r="G213" s="18" t="s">
        <v>881</v>
      </c>
      <c r="H213" s="18" t="s">
        <v>993</v>
      </c>
      <c r="I213" s="18" t="s">
        <v>993</v>
      </c>
      <c r="J213" s="18" t="s">
        <v>790</v>
      </c>
      <c r="K213" s="18" t="s">
        <v>981</v>
      </c>
      <c r="L213" s="18" t="s">
        <v>982</v>
      </c>
      <c r="M213" s="19">
        <v>0</v>
      </c>
      <c r="N213" s="19">
        <v>4</v>
      </c>
      <c r="O213" s="19">
        <v>0</v>
      </c>
      <c r="P213" s="20">
        <v>4</v>
      </c>
      <c r="Q213" s="19">
        <v>0</v>
      </c>
      <c r="R213" s="19">
        <v>0</v>
      </c>
      <c r="S213" s="19">
        <v>0</v>
      </c>
      <c r="T213" s="19">
        <v>0</v>
      </c>
      <c r="U213" s="18" t="s">
        <v>1058</v>
      </c>
      <c r="V213" s="21" t="s">
        <v>993</v>
      </c>
    </row>
    <row r="214" spans="1:22" ht="18.75">
      <c r="A214" s="17" t="s">
        <v>773</v>
      </c>
      <c r="B214" s="18" t="s">
        <v>774</v>
      </c>
      <c r="C214" s="18" t="s">
        <v>1116</v>
      </c>
      <c r="D214" s="18" t="s">
        <v>71</v>
      </c>
      <c r="E214" s="18"/>
      <c r="F214" s="18"/>
      <c r="G214" s="18" t="s">
        <v>1139</v>
      </c>
      <c r="H214" s="18" t="s">
        <v>855</v>
      </c>
      <c r="I214" s="18" t="s">
        <v>855</v>
      </c>
      <c r="J214" s="18" t="s">
        <v>790</v>
      </c>
      <c r="K214" s="18" t="s">
        <v>981</v>
      </c>
      <c r="L214" s="18" t="s">
        <v>982</v>
      </c>
      <c r="M214" s="19">
        <v>0</v>
      </c>
      <c r="N214" s="19">
        <v>8</v>
      </c>
      <c r="O214" s="22">
        <v>3.4279999999999999</v>
      </c>
      <c r="P214" s="24">
        <v>4.5720000000000001</v>
      </c>
      <c r="Q214" s="19">
        <v>0</v>
      </c>
      <c r="R214" s="19">
        <v>0</v>
      </c>
      <c r="S214" s="19">
        <v>0</v>
      </c>
      <c r="T214" s="19">
        <v>0</v>
      </c>
      <c r="U214" s="18" t="s">
        <v>1058</v>
      </c>
      <c r="V214" s="21" t="s">
        <v>855</v>
      </c>
    </row>
    <row r="215" spans="1:22" ht="18.75">
      <c r="A215" s="17" t="s">
        <v>777</v>
      </c>
      <c r="B215" s="18" t="s">
        <v>778</v>
      </c>
      <c r="C215" s="18" t="s">
        <v>1116</v>
      </c>
      <c r="D215" s="18" t="s">
        <v>71</v>
      </c>
      <c r="E215" s="18"/>
      <c r="F215" s="18"/>
      <c r="G215" s="18" t="s">
        <v>1138</v>
      </c>
      <c r="H215" s="18" t="s">
        <v>855</v>
      </c>
      <c r="I215" s="18" t="s">
        <v>855</v>
      </c>
      <c r="J215" s="18" t="s">
        <v>790</v>
      </c>
      <c r="K215" s="18" t="s">
        <v>981</v>
      </c>
      <c r="L215" s="18" t="s">
        <v>982</v>
      </c>
      <c r="M215" s="19">
        <v>0</v>
      </c>
      <c r="N215" s="19">
        <v>1</v>
      </c>
      <c r="O215" s="19">
        <v>0</v>
      </c>
      <c r="P215" s="20">
        <v>1</v>
      </c>
      <c r="Q215" s="19">
        <v>0</v>
      </c>
      <c r="R215" s="19">
        <v>0</v>
      </c>
      <c r="S215" s="19">
        <v>0</v>
      </c>
      <c r="T215" s="19">
        <v>0</v>
      </c>
      <c r="U215" s="18" t="s">
        <v>1058</v>
      </c>
      <c r="V215" s="21" t="s">
        <v>855</v>
      </c>
    </row>
    <row r="216" spans="1:22" ht="18.75">
      <c r="A216" s="17" t="s">
        <v>777</v>
      </c>
      <c r="B216" s="18" t="s">
        <v>778</v>
      </c>
      <c r="C216" s="18" t="s">
        <v>1116</v>
      </c>
      <c r="D216" s="18" t="s">
        <v>71</v>
      </c>
      <c r="E216" s="18"/>
      <c r="F216" s="18"/>
      <c r="G216" s="18" t="s">
        <v>881</v>
      </c>
      <c r="H216" s="18" t="s">
        <v>993</v>
      </c>
      <c r="I216" s="18" t="s">
        <v>993</v>
      </c>
      <c r="J216" s="18" t="s">
        <v>790</v>
      </c>
      <c r="K216" s="18" t="s">
        <v>981</v>
      </c>
      <c r="L216" s="18" t="s">
        <v>982</v>
      </c>
      <c r="M216" s="19">
        <v>0</v>
      </c>
      <c r="N216" s="19">
        <v>1</v>
      </c>
      <c r="O216" s="22">
        <v>0.84799999999999998</v>
      </c>
      <c r="P216" s="24">
        <v>0.152</v>
      </c>
      <c r="Q216" s="19">
        <v>0</v>
      </c>
      <c r="R216" s="19">
        <v>0</v>
      </c>
      <c r="S216" s="19">
        <v>0</v>
      </c>
      <c r="T216" s="19">
        <v>0</v>
      </c>
      <c r="U216" s="18" t="s">
        <v>1058</v>
      </c>
      <c r="V216" s="21" t="s">
        <v>993</v>
      </c>
    </row>
    <row r="217" spans="1:22" ht="18.75">
      <c r="A217" s="26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8"/>
      <c r="Q217" s="27"/>
      <c r="R217" s="27"/>
      <c r="S217" s="27"/>
      <c r="T217" s="27"/>
      <c r="U217" s="27"/>
      <c r="V217" s="29" t="s">
        <v>168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報價單匯出 Tier Pricing</vt:lpstr>
      <vt:lpstr>產品價格表 Standard Pricing</vt:lpstr>
      <vt:lpstr>產品庫存表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noreen.liu</dc:creator>
  <cp:lastModifiedBy>Phát Vũ Hoàng</cp:lastModifiedBy>
  <dcterms:created xsi:type="dcterms:W3CDTF">2025-12-03T03:29:10Z</dcterms:created>
  <dcterms:modified xsi:type="dcterms:W3CDTF">2026-01-13T06:37:06Z</dcterms:modified>
</cp:coreProperties>
</file>